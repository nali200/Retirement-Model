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Cash Flow" sheetId="2" r:id="rId5"/>
    <sheet state="visible" name="Assumptions" sheetId="3" r:id="rId6"/>
    <sheet state="visible" name="Taxes" sheetId="4" r:id="rId7"/>
    <sheet state="visible" name="Schedule A" sheetId="5" r:id="rId8"/>
    <sheet state="visible" name="Outside Income" sheetId="6" r:id="rId9"/>
    <sheet state="visible" name="Inherited and Roth IRA" sheetId="7" r:id="rId10"/>
    <sheet state="visible" name="Capital Gains" sheetId="8" r:id="rId11"/>
  </sheets>
  <definedNames/>
  <calcPr/>
  <extLst>
    <ext uri="GoogleSheetsCustomDataVersion2">
      <go:sheetsCustomData xmlns:go="http://customooxmlschemas.google.com/" r:id="rId12" roundtripDataChecksum="4GIdh+kWi5+x8mB1CLSKdpdoZ+YSv45I18TGdh6dqds="/>
    </ext>
  </extLst>
</workbook>
</file>

<file path=xl/sharedStrings.xml><?xml version="1.0" encoding="utf-8"?>
<sst xmlns="http://schemas.openxmlformats.org/spreadsheetml/2006/main" count="190" uniqueCount="165">
  <si>
    <t>Year</t>
  </si>
  <si>
    <t>Ilene's Age</t>
  </si>
  <si>
    <t>Annual Budget</t>
  </si>
  <si>
    <t>Social Security Taxable Portion</t>
  </si>
  <si>
    <t>Outside Income</t>
  </si>
  <si>
    <t>Inherited IRA Distributions</t>
  </si>
  <si>
    <t>Price per share</t>
  </si>
  <si>
    <t>Portfolio Withdrawal to Cover Annual Budget</t>
  </si>
  <si>
    <t>Dividend Income</t>
  </si>
  <si>
    <t>Number of Shares</t>
  </si>
  <si>
    <t>Roth Conversion Income</t>
  </si>
  <si>
    <t>Total Tax Liability</t>
  </si>
  <si>
    <t>Taxable Pool Funding</t>
  </si>
  <si>
    <t>Appreciation in Remainder of 2026</t>
  </si>
  <si>
    <t>Optimal § 163(d) Election</t>
  </si>
  <si>
    <t>Taxes as percent of Budgeted Income</t>
  </si>
  <si>
    <t>Roth IRA Funding</t>
  </si>
  <si>
    <t>2026 Year-end balance</t>
  </si>
  <si>
    <t>Federal Gross Ordinary Income</t>
  </si>
  <si>
    <t>Inherited IRA Funding</t>
  </si>
  <si>
    <t>Viatar Business Loss</t>
  </si>
  <si>
    <t>Total Net Assets</t>
  </si>
  <si>
    <t>Federal Net Ordinary Income</t>
  </si>
  <si>
    <t>Total Taxes Due</t>
  </si>
  <si>
    <t>Unabsorbed Viatar Loss</t>
  </si>
  <si>
    <t>Realized Capital Gains</t>
  </si>
  <si>
    <t>Taxable Pool End</t>
  </si>
  <si>
    <t>Capital Gains After Viatar Loss</t>
  </si>
  <si>
    <t>Inherited IRA End</t>
  </si>
  <si>
    <t>Adjusted Gross Income (AGI)</t>
  </si>
  <si>
    <t>Roth IRAs End</t>
  </si>
  <si>
    <t>Schedule A Itemized Deductions</t>
  </si>
  <si>
    <t>Taxable Ordinary Income</t>
  </si>
  <si>
    <t>Federal Tax on Ordinary Income</t>
  </si>
  <si>
    <t>Initial Taxable Pool</t>
  </si>
  <si>
    <t>Realized Capital Gains (Baseline)</t>
  </si>
  <si>
    <t>Investment Interest Carryforward Applied to LTCG</t>
  </si>
  <si>
    <t>Unused Schedule A Deduction</t>
  </si>
  <si>
    <t>Capital Gains Subject to LTCG Tax</t>
  </si>
  <si>
    <t>Federal Capital Gains Tax</t>
  </si>
  <si>
    <t>3.8% Medicare Surtax / NIIT (IRC § 1411)</t>
  </si>
  <si>
    <t>Opening balance</t>
  </si>
  <si>
    <t>Gross Federal Tax Liability</t>
  </si>
  <si>
    <t>NJ Taxable Income</t>
  </si>
  <si>
    <t>NJ Tax Liability</t>
  </si>
  <si>
    <t>Total Federal and NJ Taxes</t>
  </si>
  <si>
    <t>Viatar Total Loss Applied</t>
  </si>
  <si>
    <t>Initial Inherited IRA Pool</t>
  </si>
  <si>
    <t>Initial Roth IRA Pool</t>
  </si>
  <si>
    <t>Vanguard VUG annual return</t>
  </si>
  <si>
    <t>VUG annual dividend</t>
  </si>
  <si>
    <t>Maximum cap on Viatar business losses</t>
  </si>
  <si>
    <t>Prorate appreciation from 8-15 to 12-31-2026</t>
  </si>
  <si>
    <t>Vanguard VLXVX annual return</t>
  </si>
  <si>
    <t>Margin Debt Interest Rate</t>
  </si>
  <si>
    <t>Out-of-Pocket Tax Ceiling</t>
  </si>
  <si>
    <t>Budget Inflation Rate</t>
  </si>
  <si>
    <t>Combined Ordinary Tax Rate</t>
  </si>
  <si>
    <t>NJ Personal &amp; Senior Exemptions (MFJ Age 65+)</t>
  </si>
  <si>
    <t>NJ tax rate</t>
  </si>
  <si>
    <t>Max Extra IRA Paydown Cap</t>
  </si>
  <si>
    <t>VUG opening balance stock price</t>
  </si>
  <si>
    <t>VLXVX opening balance stock price</t>
  </si>
  <si>
    <t>NJ BRACKETS (MFJ)</t>
  </si>
  <si>
    <t>Bracket Start</t>
  </si>
  <si>
    <t>Marginal Rate</t>
  </si>
  <si>
    <t>Base Tax Amount</t>
  </si>
  <si>
    <t>Description</t>
  </si>
  <si>
    <t>NJ Bracket 1</t>
  </si>
  <si>
    <t>$0 to $20,000</t>
  </si>
  <si>
    <t>NJ Bracket 2</t>
  </si>
  <si>
    <t>$20,001 to $50,000</t>
  </si>
  <si>
    <t>NJ Bracket 3</t>
  </si>
  <si>
    <t>$50,001 to $70,000</t>
  </si>
  <si>
    <t>NJ Bracket 4</t>
  </si>
  <si>
    <t>$70,001 to $80,000</t>
  </si>
  <si>
    <t>NJ Bracket 5</t>
  </si>
  <si>
    <t>$80,001 to $150,000</t>
  </si>
  <si>
    <t>NJ Bracket 6</t>
  </si>
  <si>
    <t>$150,001 to $500,000</t>
  </si>
  <si>
    <t>NJ Bracket 7</t>
  </si>
  <si>
    <t>$500,001 to $1,000,000</t>
  </si>
  <si>
    <t>NJ Bracket 8</t>
  </si>
  <si>
    <t>Over $1,000,000</t>
  </si>
  <si>
    <t>Accelerated IRA Target Draw</t>
  </si>
  <si>
    <t>FEDERAL ORDINARY INCOME TAX BRACKETS (2026 MFJ)</t>
  </si>
  <si>
    <t>Taxable Income Range Description</t>
  </si>
  <si>
    <t>Fed Ord Bracket 1</t>
  </si>
  <si>
    <t>10% Rate ($0 to $23,200)</t>
  </si>
  <si>
    <t>Fed Ord Bracket 2</t>
  </si>
  <si>
    <t>12% Rate ($23,201 to $94,300)</t>
  </si>
  <si>
    <t>Fed Ord Bracket 3</t>
  </si>
  <si>
    <t>22% Rate ($94,301 to $201,050)</t>
  </si>
  <si>
    <t>Fed Ord Bracket 4</t>
  </si>
  <si>
    <t>24% Rate ($201,051 to $383,900)</t>
  </si>
  <si>
    <t>Fed Ord Bracket 5</t>
  </si>
  <si>
    <t>32% Rate ($383,901 to $487,450)</t>
  </si>
  <si>
    <t>Fed Ord Bracket 6</t>
  </si>
  <si>
    <t>35% Rate ($487,451 to $731,200)</t>
  </si>
  <si>
    <t>Fed Ord Bracket 7</t>
  </si>
  <si>
    <t>37% Rate (Over $731,200)</t>
  </si>
  <si>
    <t>IRC § 163(d) Capital Gains Election Amount</t>
  </si>
  <si>
    <t>FEDERAL CAPITAL GAINS TAX BRACKETS (2026 MFJ)</t>
  </si>
  <si>
    <t>Fed CG Bracket 1</t>
  </si>
  <si>
    <t>0% Rate ($0 to $94,050)</t>
  </si>
  <si>
    <t>Fed CG Bracket 2</t>
  </si>
  <si>
    <t>15% Rate ($94,051 to $583,750)</t>
  </si>
  <si>
    <t>Fed CG Bracket 3</t>
  </si>
  <si>
    <t>20% Rate (Over $583,750)</t>
  </si>
  <si>
    <t>OBBBA SALT &amp; DEDUCTION PARAMETERS</t>
  </si>
  <si>
    <t>Value</t>
  </si>
  <si>
    <t>Notes / Description</t>
  </si>
  <si>
    <t>SALT Base Cap (OBBBA 2026)</t>
  </si>
  <si>
    <t>2026 Married Filing Jointly base SALT cap</t>
  </si>
  <si>
    <t>SALT MAGI Phase-Down Threshold</t>
  </si>
  <si>
    <t>MAGI threshold where phase-down begins</t>
  </si>
  <si>
    <t>SALT Phase-Down Rate</t>
  </si>
  <si>
    <t>30 cents per dollar cap reduction above threshold</t>
  </si>
  <si>
    <t>SALT Statutory Floor Cap</t>
  </si>
  <si>
    <t>Statutory minimum SALT cap floor</t>
  </si>
  <si>
    <t>Medical Deduction AGI Floor Rate</t>
  </si>
  <si>
    <t>7.5% of AGI floor for Schedule A</t>
  </si>
  <si>
    <t>LTCG § 163(d) Election Cap</t>
  </si>
  <si>
    <t>Target Taxable Ordinary Income</t>
  </si>
  <si>
    <t>Roth conversion</t>
  </si>
  <si>
    <t>election cap</t>
  </si>
  <si>
    <t>Unreimbursed Medical Expenses</t>
  </si>
  <si>
    <t>7.5% Medical AGI Floor</t>
  </si>
  <si>
    <t>Deductible Medical Expense</t>
  </si>
  <si>
    <t>SALT Taxes Paid</t>
  </si>
  <si>
    <t>OBBBA Base SALT Cap</t>
  </si>
  <si>
    <t>SALT MAGI Phase-Down Adjustment</t>
  </si>
  <si>
    <t>Phased-Down SALT Cap</t>
  </si>
  <si>
    <t>Allowed SALT Deduction</t>
  </si>
  <si>
    <t>Mortgage Interest</t>
  </si>
  <si>
    <t>Charitable Contributions</t>
  </si>
  <si>
    <t>Total Schedule A Itemized Deductions</t>
  </si>
  <si>
    <t>Investment Interest Expense from Viatar K-1</t>
  </si>
  <si>
    <t>Prior Year Interest Carryforward</t>
  </si>
  <si>
    <t>Total Available Investment Interest</t>
  </si>
  <si>
    <t>Allowed Investment Interest Deduction</t>
  </si>
  <si>
    <t>Ending Interest Carryforward</t>
  </si>
  <si>
    <t>Equitrust Annuity (Roth)</t>
  </si>
  <si>
    <t>Combined Social Security (1% COLA)</t>
  </si>
  <si>
    <t>Inherited IRA Distribution</t>
  </si>
  <si>
    <t>Total Outside Income</t>
  </si>
  <si>
    <t>IRS Divisor</t>
  </si>
  <si>
    <t>Inherited IRA Beginning Balance</t>
  </si>
  <si>
    <t>IRS Mandatory RMD</t>
  </si>
  <si>
    <t>Extra Withdrawal to Pay Taxes</t>
  </si>
  <si>
    <t>Total Gross Distribution</t>
  </si>
  <si>
    <t>Inherited IRA Ending Balance</t>
  </si>
  <si>
    <t>Traditional IRA</t>
  </si>
  <si>
    <t>Conversion to Roth IRA</t>
  </si>
  <si>
    <t>Election Cap</t>
  </si>
  <si>
    <t>Roth IRA Balance</t>
  </si>
  <si>
    <t>Roth IRA withdrawal to cover budget</t>
  </si>
  <si>
    <t>Ending Roth Balance</t>
  </si>
  <si>
    <t>VUG Share Price</t>
  </si>
  <si>
    <t>Portfolio Withdrawal Needed</t>
  </si>
  <si>
    <t>Actual VUG Dollars Sold</t>
  </si>
  <si>
    <t>VUG Shares Sold</t>
  </si>
  <si>
    <t>Taxable Pool Start of Year</t>
  </si>
  <si>
    <t>Taxable Pool After Shares Sold at Beginning of Year</t>
  </si>
  <si>
    <t>Taxable Pool End of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</si>
</sst>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00%"/>
    <numFmt numFmtId="166" formatCode="0.000%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1F1F1F"/>
      <name val="Google Sans"/>
    </font>
    <font>
      <color theme="1"/>
      <name val="Google Sans"/>
    </font>
    <font>
      <sz val="10.0"/>
      <color theme="1"/>
      <name val="Arial"/>
    </font>
    <font>
      <sz val="10.0"/>
      <color rgb="FF1F1F1F"/>
      <name val="Google Sans"/>
    </font>
    <font>
      <b/>
      <sz val="10.0"/>
      <color rgb="FF000000"/>
      <name val="Google Sans"/>
    </font>
    <font>
      <sz val="10.0"/>
      <color rgb="FF000000"/>
      <name val="Google Sans"/>
    </font>
    <font>
      <sz val="10.0"/>
      <color rgb="FFFFFFFF"/>
      <name val="Google Sans"/>
    </font>
    <font>
      <sz val="10.0"/>
      <color theme="1"/>
      <name val="Google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3" xfId="0" applyAlignment="1" applyFont="1" applyNumberForma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2" numFmtId="3" xfId="0" applyAlignment="1" applyFont="1" applyNumberFormat="1">
      <alignment horizontal="center"/>
    </xf>
    <xf borderId="0" fillId="0" fontId="2" numFmtId="0" xfId="0" applyFont="1"/>
    <xf borderId="0" fillId="0" fontId="2" numFmtId="3" xfId="0" applyAlignment="1" applyFont="1" applyNumberFormat="1">
      <alignment vertical="top"/>
    </xf>
    <xf borderId="0" fillId="0" fontId="2" numFmtId="3" xfId="0" applyFont="1" applyNumberFormat="1"/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64" xfId="0" applyFont="1" applyNumberFormat="1"/>
    <xf borderId="0" fillId="0" fontId="2" numFmtId="3" xfId="0" applyAlignment="1" applyFont="1" applyNumberFormat="1">
      <alignment shrinkToFit="0" wrapText="1"/>
    </xf>
    <xf borderId="0" fillId="0" fontId="2" numFmtId="10" xfId="0" applyAlignment="1" applyFont="1" applyNumberFormat="1">
      <alignment vertical="top"/>
    </xf>
    <xf borderId="0" fillId="0" fontId="2" numFmtId="165" xfId="0" applyAlignment="1" applyFont="1" applyNumberFormat="1">
      <alignment shrinkToFit="0" wrapText="1"/>
    </xf>
    <xf borderId="0" fillId="0" fontId="2" numFmtId="166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4" xfId="0" applyAlignment="1" applyFont="1" applyNumberFormat="1">
      <alignment vertical="top"/>
    </xf>
    <xf borderId="0" fillId="0" fontId="3" numFmtId="0" xfId="0" applyAlignment="1" applyFont="1">
      <alignment shrinkToFit="0" vertical="top" wrapText="1"/>
    </xf>
    <xf borderId="0" fillId="0" fontId="4" numFmtId="3" xfId="0" applyAlignment="1" applyFont="1" applyNumberFormat="1">
      <alignment vertical="top"/>
    </xf>
    <xf borderId="0" fillId="0" fontId="3" numFmtId="0" xfId="0" applyAlignment="1" applyFont="1">
      <alignment shrinkToFit="0" wrapText="1"/>
    </xf>
    <xf borderId="0" fillId="0" fontId="3" numFmtId="3" xfId="0" applyFont="1" applyNumberFormat="1"/>
    <xf borderId="0" fillId="0" fontId="3" numFmtId="0" xfId="0" applyFont="1"/>
    <xf borderId="0" fillId="0" fontId="5" numFmtId="3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right" shrinkToFit="0" vertical="top" wrapText="1"/>
    </xf>
    <xf borderId="0" fillId="0" fontId="5" numFmtId="10" xfId="0" applyAlignment="1" applyFont="1" applyNumberFormat="1">
      <alignment horizontal="center" shrinkToFit="0" vertical="top" wrapText="1"/>
    </xf>
    <xf borderId="0" fillId="0" fontId="6" numFmtId="3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1" fillId="0" fontId="5" numFmtId="3" xfId="0" applyAlignment="1" applyBorder="1" applyFont="1" applyNumberFormat="1">
      <alignment horizontal="left" shrinkToFit="0" vertical="top" wrapText="1"/>
    </xf>
    <xf borderId="1" fillId="0" fontId="5" numFmtId="0" xfId="0" applyAlignment="1" applyBorder="1" applyFont="1">
      <alignment horizontal="right" shrinkToFit="0" vertical="top" wrapText="1"/>
    </xf>
    <xf borderId="1" fillId="0" fontId="5" numFmtId="10" xfId="0" applyAlignment="1" applyBorder="1" applyFont="1" applyNumberFormat="1">
      <alignment horizontal="center" shrinkToFit="0" vertical="top" wrapText="1"/>
    </xf>
    <xf borderId="1" fillId="0" fontId="5" numFmtId="3" xfId="0" applyBorder="1" applyFont="1" applyNumberFormat="1"/>
    <xf borderId="1" fillId="0" fontId="5" numFmtId="10" xfId="0" applyAlignment="1" applyBorder="1" applyFont="1" applyNumberFormat="1">
      <alignment horizontal="center"/>
    </xf>
    <xf borderId="0" fillId="0" fontId="6" numFmtId="3" xfId="0" applyFont="1" applyNumberFormat="1"/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1" numFmtId="0" xfId="0" applyFont="1"/>
    <xf borderId="0" fillId="0" fontId="7" numFmtId="3" xfId="0" applyAlignment="1" applyFont="1" applyNumberFormat="1">
      <alignment vertical="top"/>
    </xf>
    <xf borderId="0" fillId="0" fontId="3" numFmtId="0" xfId="0" applyAlignment="1" applyFont="1">
      <alignment horizontal="center" shrinkToFit="0" vertical="top" wrapText="1"/>
    </xf>
    <xf borderId="0" fillId="0" fontId="8" numFmtId="3" xfId="0" applyAlignment="1" applyFont="1" applyNumberFormat="1">
      <alignment horizontal="center" vertical="top"/>
    </xf>
    <xf borderId="0" fillId="0" fontId="3" numFmtId="0" xfId="0" applyAlignment="1" applyFont="1">
      <alignment horizontal="center" shrinkToFit="0" wrapText="1"/>
    </xf>
    <xf borderId="0" fillId="0" fontId="3" numFmtId="3" xfId="0" applyAlignment="1" applyFont="1" applyNumberFormat="1">
      <alignment horizontal="left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6" numFmtId="10" xfId="0" applyAlignment="1" applyFont="1" applyNumberFormat="1">
      <alignment shrinkToFit="0" wrapText="1"/>
    </xf>
    <xf borderId="0" fillId="0" fontId="6" numFmtId="4" xfId="0" applyAlignment="1" applyFont="1" applyNumberFormat="1">
      <alignment shrinkToFit="0" wrapText="1"/>
    </xf>
    <xf borderId="0" fillId="0" fontId="9" numFmtId="3" xfId="0" applyAlignment="1" applyFont="1" applyNumberFormat="1">
      <alignment vertical="top"/>
    </xf>
    <xf borderId="0" fillId="0" fontId="10" numFmtId="3" xfId="0" applyAlignment="1" applyFont="1" applyNumberFormat="1">
      <alignment vertical="top"/>
    </xf>
    <xf borderId="0" fillId="0" fontId="11" numFmtId="3" xfId="0" applyAlignment="1" applyFont="1" applyNumberFormat="1">
      <alignment vertical="top"/>
    </xf>
    <xf borderId="0" fillId="0" fontId="2" numFmtId="10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3" xfId="0" applyAlignment="1" applyFont="1" applyNumberFormat="1">
      <alignment vertical="top"/>
    </xf>
    <xf borderId="0" fillId="0" fontId="1" numFmtId="3" xfId="0" applyFont="1" applyNumberFormat="1"/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2</v>
      </c>
      <c r="C1" s="2" t="s">
        <v>4</v>
      </c>
      <c r="D1" s="2" t="s">
        <v>7</v>
      </c>
      <c r="E1" s="2" t="s">
        <v>11</v>
      </c>
      <c r="F1" s="3" t="s">
        <v>15</v>
      </c>
      <c r="G1" s="2" t="s">
        <v>26</v>
      </c>
      <c r="H1" s="2" t="s">
        <v>28</v>
      </c>
      <c r="I1" s="2" t="s">
        <v>30</v>
      </c>
      <c r="J1" s="2" t="s">
        <v>21</v>
      </c>
      <c r="K1" s="2"/>
      <c r="L1" s="2"/>
      <c r="M1" s="2"/>
      <c r="N1" s="2"/>
      <c r="O1" s="2"/>
      <c r="P1" s="2"/>
    </row>
    <row r="2" ht="15.75" customHeight="1">
      <c r="A2" s="7">
        <v>2026.0</v>
      </c>
      <c r="B2" s="9">
        <v>0.0</v>
      </c>
      <c r="C2" s="9">
        <f>'Outside Income'!F2</f>
        <v>60338</v>
      </c>
      <c r="D2" s="9">
        <f t="shared" ref="D2:D31" si="1">MAX(0, B2-C2)</f>
        <v>0</v>
      </c>
      <c r="E2" s="9">
        <f>Taxes!Z2</f>
        <v>39820.09278</v>
      </c>
      <c r="F2" s="12"/>
      <c r="G2" s="9">
        <f>'Capital Gains'!I2</f>
        <v>3964954.702</v>
      </c>
      <c r="H2" s="9">
        <f>'Inherited and Roth IRA'!H2</f>
        <v>590049.8301</v>
      </c>
      <c r="I2" s="9">
        <f>'Inherited and Roth IRA'!O2</f>
        <v>2133346.225</v>
      </c>
      <c r="J2" s="9">
        <f t="shared" ref="J2:J31" si="2">SUM(G2:I2)</f>
        <v>6688350.758</v>
      </c>
      <c r="K2" s="9"/>
      <c r="L2" s="9"/>
      <c r="M2" s="9"/>
      <c r="N2" s="9"/>
      <c r="O2" s="9"/>
      <c r="P2" s="9"/>
    </row>
    <row r="3" ht="15.75" customHeight="1">
      <c r="A3" s="7">
        <v>2027.0</v>
      </c>
      <c r="B3" s="9">
        <v>600000.0</v>
      </c>
      <c r="C3" s="9">
        <f>'Outside Income'!F3</f>
        <v>170117.1331</v>
      </c>
      <c r="D3" s="9">
        <f t="shared" si="1"/>
        <v>429882.8669</v>
      </c>
      <c r="E3" s="9">
        <f>Taxes!Z3</f>
        <v>16420.30348</v>
      </c>
      <c r="F3" s="12">
        <f t="shared" ref="F3:F31" si="3">E3/B3</f>
        <v>0.02736717247</v>
      </c>
      <c r="G3" s="9">
        <f>'Capital Gains'!I3</f>
        <v>3923929.738</v>
      </c>
      <c r="H3" s="9">
        <f>'Inherited and Roth IRA'!H3</f>
        <v>611965.9667</v>
      </c>
      <c r="I3" s="9">
        <f>'Inherited and Roth IRA'!O3</f>
        <v>2346680.848</v>
      </c>
      <c r="J3" s="9">
        <f t="shared" si="2"/>
        <v>6882576.552</v>
      </c>
      <c r="K3" s="9"/>
      <c r="L3" s="9"/>
      <c r="M3" s="9"/>
      <c r="N3" s="9"/>
      <c r="O3" s="9"/>
      <c r="P3" s="9"/>
    </row>
    <row r="4" ht="15.75" customHeight="1">
      <c r="A4" s="7">
        <f t="shared" ref="A4:A31" si="4">A3+1</f>
        <v>2028</v>
      </c>
      <c r="B4" s="9">
        <f>B3*(1+Assumptions!B$11)</f>
        <v>618000</v>
      </c>
      <c r="C4" s="9">
        <f>'Outside Income'!F4</f>
        <v>173992.8465</v>
      </c>
      <c r="D4" s="9">
        <f t="shared" si="1"/>
        <v>444007.1535</v>
      </c>
      <c r="E4" s="9">
        <f>Taxes!Z4</f>
        <v>19162.95271</v>
      </c>
      <c r="F4" s="12">
        <f t="shared" si="3"/>
        <v>0.03100801409</v>
      </c>
      <c r="G4" s="9">
        <f>'Capital Gains'!I4</f>
        <v>3862714.068</v>
      </c>
      <c r="H4" s="9">
        <f>'Inherited and Roth IRA'!H4</f>
        <v>632364.8322</v>
      </c>
      <c r="I4" s="9">
        <f>'Inherited and Roth IRA'!O4</f>
        <v>2581348.933</v>
      </c>
      <c r="J4" s="9">
        <f t="shared" si="2"/>
        <v>7076427.833</v>
      </c>
      <c r="K4" s="9"/>
      <c r="L4" s="9"/>
      <c r="M4" s="9"/>
      <c r="N4" s="9"/>
      <c r="O4" s="9"/>
      <c r="P4" s="9"/>
    </row>
    <row r="5" ht="15.75" customHeight="1">
      <c r="A5" s="7">
        <f t="shared" si="4"/>
        <v>2029</v>
      </c>
      <c r="B5" s="9">
        <f>B4*(1+Assumptions!B$11)</f>
        <v>636540</v>
      </c>
      <c r="C5" s="9">
        <f>'Outside Income'!F5</f>
        <v>178210.7711</v>
      </c>
      <c r="D5" s="9">
        <f t="shared" si="1"/>
        <v>458329.2289</v>
      </c>
      <c r="E5" s="9">
        <f>Taxes!Z5</f>
        <v>22554.33946</v>
      </c>
      <c r="F5" s="12">
        <f t="shared" si="3"/>
        <v>0.03543271352</v>
      </c>
      <c r="G5" s="9">
        <f>'Capital Gains'!I5</f>
        <v>3778867.172</v>
      </c>
      <c r="H5" s="9">
        <f>'Inherited and Roth IRA'!H5</f>
        <v>650723.8112</v>
      </c>
      <c r="I5" s="9">
        <f>'Inherited and Roth IRA'!O5</f>
        <v>2839483.826</v>
      </c>
      <c r="J5" s="9">
        <f t="shared" si="2"/>
        <v>7269074.809</v>
      </c>
      <c r="K5" s="9"/>
      <c r="L5" s="9"/>
      <c r="M5" s="9"/>
      <c r="N5" s="9"/>
      <c r="O5" s="9"/>
      <c r="P5" s="9"/>
    </row>
    <row r="6" ht="15.75" customHeight="1">
      <c r="A6" s="7">
        <f t="shared" si="4"/>
        <v>2030</v>
      </c>
      <c r="B6" s="9">
        <f>B5*(1+Assumptions!B$11)</f>
        <v>655636.2</v>
      </c>
      <c r="C6" s="9">
        <f>'Outside Income'!F6</f>
        <v>182804.6746</v>
      </c>
      <c r="D6" s="9">
        <f t="shared" si="1"/>
        <v>472831.5254</v>
      </c>
      <c r="E6" s="9">
        <f>Taxes!Z6</f>
        <v>26833.55108</v>
      </c>
      <c r="F6" s="12">
        <f t="shared" si="3"/>
        <v>0.04092750078</v>
      </c>
      <c r="G6" s="9">
        <f>'Capital Gains'!I6</f>
        <v>3669699.567</v>
      </c>
      <c r="H6" s="9">
        <f>'Inherited and Roth IRA'!H6</f>
        <v>666430.9377</v>
      </c>
      <c r="I6" s="9">
        <f>'Inherited and Roth IRA'!O6</f>
        <v>3123432.209</v>
      </c>
      <c r="J6" s="9">
        <f t="shared" si="2"/>
        <v>7459562.714</v>
      </c>
      <c r="K6" s="9"/>
      <c r="L6" s="9"/>
      <c r="M6" s="9"/>
      <c r="N6" s="9"/>
      <c r="O6" s="9"/>
      <c r="P6" s="9"/>
    </row>
    <row r="7" ht="15.75" customHeight="1">
      <c r="A7" s="7">
        <f t="shared" si="4"/>
        <v>2031</v>
      </c>
      <c r="B7" s="9">
        <f>B6*(1+Assumptions!B$11)</f>
        <v>675305.286</v>
      </c>
      <c r="C7" s="9">
        <f>'Outside Income'!F7</f>
        <v>187811.6967</v>
      </c>
      <c r="D7" s="9">
        <f t="shared" si="1"/>
        <v>487493.5893</v>
      </c>
      <c r="E7" s="9">
        <f>Taxes!Z7</f>
        <v>30906.74057</v>
      </c>
      <c r="F7" s="12">
        <f t="shared" si="3"/>
        <v>0.04576706448</v>
      </c>
      <c r="G7" s="9">
        <f>'Capital Gains'!I7</f>
        <v>3532248.636</v>
      </c>
      <c r="H7" s="9">
        <f>'Inherited and Roth IRA'!H7</f>
        <v>678772.2514</v>
      </c>
      <c r="I7" s="9">
        <f>'Inherited and Roth IRA'!O7</f>
        <v>3435775.429</v>
      </c>
      <c r="J7" s="9">
        <f t="shared" si="2"/>
        <v>7646796.317</v>
      </c>
      <c r="K7" s="9"/>
      <c r="L7" s="9"/>
      <c r="M7" s="9"/>
      <c r="N7" s="9"/>
      <c r="O7" s="9"/>
      <c r="P7" s="9"/>
    </row>
    <row r="8" ht="15.75" customHeight="1">
      <c r="A8" s="7">
        <f t="shared" si="4"/>
        <v>2032</v>
      </c>
      <c r="B8" s="9">
        <f>B7*(1+Assumptions!B$11)</f>
        <v>695564.4446</v>
      </c>
      <c r="C8" s="9">
        <f>'Outside Income'!F8</f>
        <v>193272.6866</v>
      </c>
      <c r="D8" s="9">
        <f t="shared" si="1"/>
        <v>502291.7579</v>
      </c>
      <c r="E8" s="9">
        <f>Taxes!Z8</f>
        <v>30922.41702</v>
      </c>
      <c r="F8" s="12">
        <f t="shared" si="3"/>
        <v>0.04445658093</v>
      </c>
      <c r="G8" s="9">
        <f>'Capital Gains'!I8</f>
        <v>3363252.134</v>
      </c>
      <c r="H8" s="9">
        <f>'Inherited and Roth IRA'!H8</f>
        <v>686917.5184</v>
      </c>
      <c r="I8" s="9">
        <f>'Inherited and Roth IRA'!O8</f>
        <v>3779352.972</v>
      </c>
      <c r="J8" s="9">
        <f t="shared" si="2"/>
        <v>7829522.625</v>
      </c>
      <c r="K8" s="9"/>
      <c r="L8" s="9"/>
      <c r="M8" s="9"/>
      <c r="N8" s="9"/>
      <c r="O8" s="9"/>
      <c r="P8" s="9"/>
    </row>
    <row r="9" ht="15.75" customHeight="1">
      <c r="A9" s="7">
        <f t="shared" si="4"/>
        <v>2033</v>
      </c>
      <c r="B9" s="9">
        <f>B8*(1+Assumptions!B$11)</f>
        <v>716431.3779</v>
      </c>
      <c r="C9" s="9">
        <f>'Outside Income'!F9</f>
        <v>199232.5737</v>
      </c>
      <c r="D9" s="9">
        <f t="shared" si="1"/>
        <v>517198.8042</v>
      </c>
      <c r="E9" s="9">
        <f>Taxes!Z9</f>
        <v>25902.92859</v>
      </c>
      <c r="F9" s="12">
        <f t="shared" si="3"/>
        <v>0.03615549149</v>
      </c>
      <c r="G9" s="9">
        <f>'Capital Gains'!I9</f>
        <v>3159119.197</v>
      </c>
      <c r="H9" s="9">
        <f>'Inherited and Roth IRA'!H9</f>
        <v>689904.1163</v>
      </c>
      <c r="I9" s="9">
        <f>'Inherited and Roth IRA'!O9</f>
        <v>4157288.27</v>
      </c>
      <c r="J9" s="9">
        <f t="shared" si="2"/>
        <v>8006311.582</v>
      </c>
      <c r="K9" s="9"/>
      <c r="L9" s="9"/>
      <c r="M9" s="9"/>
      <c r="N9" s="9"/>
      <c r="O9" s="9"/>
      <c r="P9" s="9"/>
    </row>
    <row r="10" ht="15.75" customHeight="1">
      <c r="A10" s="7">
        <f t="shared" si="4"/>
        <v>2034</v>
      </c>
      <c r="B10" s="9">
        <f>B9*(1+Assumptions!B$11)</f>
        <v>737924.3193</v>
      </c>
      <c r="C10" s="9">
        <f>'Outside Income'!F10</f>
        <v>205740.7757</v>
      </c>
      <c r="D10" s="9">
        <f t="shared" si="1"/>
        <v>532183.5436</v>
      </c>
      <c r="E10" s="9">
        <f>Taxes!Z10</f>
        <v>30016.87523</v>
      </c>
      <c r="F10" s="12">
        <f t="shared" si="3"/>
        <v>0.04067744408</v>
      </c>
      <c r="G10" s="9">
        <f>'Capital Gains'!I10</f>
        <v>2915898.575</v>
      </c>
      <c r="H10" s="9">
        <f>'Inherited and Roth IRA'!H10</f>
        <v>686618.8586</v>
      </c>
      <c r="I10" s="9">
        <f>'Inherited and Roth IRA'!O10</f>
        <v>4573017.097</v>
      </c>
      <c r="J10" s="9">
        <f t="shared" si="2"/>
        <v>8175534.53</v>
      </c>
      <c r="K10" s="9"/>
      <c r="L10" s="9"/>
      <c r="M10" s="9"/>
      <c r="N10" s="9"/>
      <c r="O10" s="9"/>
      <c r="P10" s="9"/>
    </row>
    <row r="11" ht="15.75" customHeight="1">
      <c r="A11" s="7">
        <f t="shared" si="4"/>
        <v>2035</v>
      </c>
      <c r="B11" s="9">
        <f>B10*(1+Assumptions!B$11)</f>
        <v>760062.0488</v>
      </c>
      <c r="C11" s="9">
        <f>'Outside Income'!F11</f>
        <v>212851.6473</v>
      </c>
      <c r="D11" s="9">
        <f t="shared" si="1"/>
        <v>547210.4015</v>
      </c>
      <c r="E11" s="9">
        <f>Taxes!Z11</f>
        <v>34052.4999</v>
      </c>
      <c r="F11" s="12">
        <f t="shared" si="3"/>
        <v>0.04480226312</v>
      </c>
      <c r="G11" s="9">
        <f>'Capital Gains'!I11</f>
        <v>2629243.872</v>
      </c>
      <c r="H11" s="9">
        <f>'Inherited and Roth IRA'!H11</f>
        <v>675777.5082</v>
      </c>
      <c r="I11" s="9">
        <f>'Inherited and Roth IRA'!O11</f>
        <v>5030318.806</v>
      </c>
      <c r="J11" s="9">
        <f t="shared" si="2"/>
        <v>8335340.187</v>
      </c>
      <c r="K11" s="9"/>
      <c r="L11" s="9"/>
      <c r="M11" s="9"/>
      <c r="N11" s="9"/>
      <c r="O11" s="9"/>
      <c r="P11" s="9"/>
    </row>
    <row r="12" ht="15.75" customHeight="1">
      <c r="A12" s="7">
        <f t="shared" si="4"/>
        <v>2036</v>
      </c>
      <c r="B12" s="9">
        <f>B11*(1+Assumptions!B$11)</f>
        <v>782863.9103</v>
      </c>
      <c r="C12" s="9">
        <f>'Outside Income'!F12</f>
        <v>220624.974</v>
      </c>
      <c r="D12" s="9">
        <f t="shared" si="1"/>
        <v>562238.9363</v>
      </c>
      <c r="E12" s="9">
        <f>Taxes!Z12</f>
        <v>38017.02746</v>
      </c>
      <c r="F12" s="12">
        <f t="shared" si="3"/>
        <v>0.0485614766</v>
      </c>
      <c r="G12" s="9">
        <f>'Capital Gains'!I12</f>
        <v>2294375.479</v>
      </c>
      <c r="H12" s="9">
        <f>'Inherited and Roth IRA'!H12</f>
        <v>655901.6991</v>
      </c>
      <c r="I12" s="9">
        <f>'Inherited and Roth IRA'!O12</f>
        <v>5533350.687</v>
      </c>
      <c r="J12" s="9">
        <f t="shared" si="2"/>
        <v>8483627.865</v>
      </c>
      <c r="K12" s="9"/>
      <c r="L12" s="9"/>
      <c r="M12" s="9"/>
      <c r="N12" s="9"/>
      <c r="O12" s="9"/>
      <c r="P12" s="9"/>
    </row>
    <row r="13" ht="15.75" customHeight="1">
      <c r="A13" s="7">
        <f t="shared" si="4"/>
        <v>2037</v>
      </c>
      <c r="B13" s="9">
        <f>B12*(1+Assumptions!B$11)</f>
        <v>806349.8276</v>
      </c>
      <c r="C13" s="9">
        <f>'Outside Income'!F13</f>
        <v>229126.515</v>
      </c>
      <c r="D13" s="9">
        <f t="shared" si="1"/>
        <v>577223.3126</v>
      </c>
      <c r="E13" s="9">
        <f>Taxes!Z13</f>
        <v>41917.17675</v>
      </c>
      <c r="F13" s="12">
        <f t="shared" si="3"/>
        <v>0.05198386025</v>
      </c>
      <c r="G13" s="9">
        <f>'Capital Gains'!I13</f>
        <v>1906038.905</v>
      </c>
      <c r="H13" s="9">
        <f>'Inherited and Roth IRA'!H13</f>
        <v>625292.9532</v>
      </c>
      <c r="I13" s="9">
        <f>'Inherited and Roth IRA'!O13</f>
        <v>6086685.756</v>
      </c>
      <c r="J13" s="9">
        <f t="shared" si="2"/>
        <v>8618017.613</v>
      </c>
      <c r="K13" s="9"/>
      <c r="L13" s="9"/>
      <c r="M13" s="9"/>
      <c r="N13" s="9"/>
      <c r="O13" s="9"/>
      <c r="P13" s="9"/>
    </row>
    <row r="14" ht="15.75" customHeight="1">
      <c r="A14" s="7">
        <f t="shared" si="4"/>
        <v>2038</v>
      </c>
      <c r="B14" s="9">
        <f>B13*(1+Assumptions!B$11)</f>
        <v>830540.3224</v>
      </c>
      <c r="C14" s="9">
        <f>'Outside Income'!F14</f>
        <v>238428.6005</v>
      </c>
      <c r="D14" s="9">
        <f t="shared" si="1"/>
        <v>592111.7219</v>
      </c>
      <c r="E14" s="9">
        <f>Taxes!Z14</f>
        <v>45759.16176</v>
      </c>
      <c r="F14" s="12">
        <f t="shared" si="3"/>
        <v>0.05509565343</v>
      </c>
      <c r="G14" s="9">
        <f>'Capital Gains'!I14</f>
        <v>1458459.173</v>
      </c>
      <c r="H14" s="9">
        <f>'Inherited and Roth IRA'!H14</f>
        <v>582003.441</v>
      </c>
      <c r="I14" s="9">
        <f>'Inherited and Roth IRA'!O14</f>
        <v>6695354.331</v>
      </c>
      <c r="J14" s="9">
        <f t="shared" si="2"/>
        <v>8735816.945</v>
      </c>
      <c r="K14" s="9"/>
      <c r="L14" s="9"/>
      <c r="M14" s="9"/>
      <c r="N14" s="9"/>
      <c r="O14" s="9"/>
      <c r="P14" s="9"/>
    </row>
    <row r="15" ht="15.75" customHeight="1">
      <c r="A15" s="7">
        <f t="shared" si="4"/>
        <v>2039</v>
      </c>
      <c r="B15" s="9">
        <f>B14*(1+Assumptions!B$11)</f>
        <v>855456.5321</v>
      </c>
      <c r="C15" s="9">
        <f>'Outside Income'!F15</f>
        <v>248610.789</v>
      </c>
      <c r="D15" s="9">
        <f t="shared" si="1"/>
        <v>606845.7431</v>
      </c>
      <c r="E15" s="9">
        <f>Taxes!Z15</f>
        <v>49661.98833</v>
      </c>
      <c r="F15" s="12">
        <f t="shared" si="3"/>
        <v>0.05805319904</v>
      </c>
      <c r="G15" s="9">
        <f>'Capital Gains'!I15</f>
        <v>945290.907</v>
      </c>
      <c r="H15" s="9">
        <f>'Inherited and Roth IRA'!H15</f>
        <v>523803.0969</v>
      </c>
      <c r="I15" s="9">
        <f>'Inherited and Roth IRA'!O15</f>
        <v>7364889.764</v>
      </c>
      <c r="J15" s="9">
        <f t="shared" si="2"/>
        <v>8833983.768</v>
      </c>
      <c r="K15" s="9"/>
      <c r="L15" s="9"/>
      <c r="M15" s="9"/>
      <c r="N15" s="9"/>
      <c r="O15" s="9"/>
      <c r="P15" s="9"/>
    </row>
    <row r="16" ht="15.75" customHeight="1">
      <c r="A16" s="7">
        <f t="shared" si="4"/>
        <v>2040</v>
      </c>
      <c r="B16" s="9">
        <f>B15*(1+Assumptions!B$11)</f>
        <v>881120.2281</v>
      </c>
      <c r="C16" s="9">
        <f>'Outside Income'!F16</f>
        <v>259760.5895</v>
      </c>
      <c r="D16" s="9">
        <f t="shared" si="1"/>
        <v>621359.6385</v>
      </c>
      <c r="E16" s="9">
        <f>Taxes!Z16</f>
        <v>54772.93232</v>
      </c>
      <c r="F16" s="12">
        <f t="shared" si="3"/>
        <v>0.0621628361</v>
      </c>
      <c r="G16" s="9">
        <f>'Capital Gains'!I16</f>
        <v>359563.708</v>
      </c>
      <c r="H16" s="9">
        <f>'Inherited and Roth IRA'!H16</f>
        <v>448142.6496</v>
      </c>
      <c r="I16" s="9">
        <f>'Inherited and Roth IRA'!O16</f>
        <v>8101378.741</v>
      </c>
      <c r="J16" s="9">
        <f t="shared" si="2"/>
        <v>8909085.098</v>
      </c>
      <c r="K16" s="9"/>
      <c r="L16" s="9"/>
      <c r="M16" s="9"/>
      <c r="N16" s="9"/>
      <c r="O16" s="9"/>
      <c r="P16" s="9"/>
    </row>
    <row r="17" ht="15.75" customHeight="1">
      <c r="A17" s="7">
        <f t="shared" si="4"/>
        <v>2041</v>
      </c>
      <c r="B17" s="9">
        <f>B16*(1+Assumptions!B$11)</f>
        <v>907553.8349</v>
      </c>
      <c r="C17" s="9">
        <f>'Outside Income'!F17</f>
        <v>271974.2574</v>
      </c>
      <c r="D17" s="9">
        <f t="shared" si="1"/>
        <v>635579.5775</v>
      </c>
      <c r="E17" s="9">
        <f>Taxes!Z17</f>
        <v>34999.9418</v>
      </c>
      <c r="F17" s="12">
        <f t="shared" si="3"/>
        <v>0.03856514121</v>
      </c>
      <c r="G17" s="9">
        <f>'Capital Gains'!I17</f>
        <v>0</v>
      </c>
      <c r="H17" s="9">
        <f>'Inherited and Roth IRA'!H17</f>
        <v>352112.0818</v>
      </c>
      <c r="I17" s="9">
        <f>'Inherited and Roth IRA'!O17</f>
        <v>8635500.745</v>
      </c>
      <c r="J17" s="9">
        <f t="shared" si="2"/>
        <v>8987612.827</v>
      </c>
      <c r="K17" s="9"/>
      <c r="L17" s="9"/>
      <c r="M17" s="9"/>
      <c r="N17" s="9"/>
      <c r="O17" s="9"/>
      <c r="P17" s="9"/>
    </row>
    <row r="18" ht="15.75" customHeight="1">
      <c r="A18" s="7">
        <f t="shared" si="4"/>
        <v>2042</v>
      </c>
      <c r="B18" s="9">
        <f>B17*(1+Assumptions!B$11)</f>
        <v>934780.45</v>
      </c>
      <c r="C18" s="9">
        <f>'Outside Income'!F18</f>
        <v>285357.6681</v>
      </c>
      <c r="D18" s="9">
        <f t="shared" si="1"/>
        <v>649422.7819</v>
      </c>
      <c r="E18" s="9">
        <f>Taxes!Z18</f>
        <v>12084.95492</v>
      </c>
      <c r="F18" s="12">
        <f t="shared" si="3"/>
        <v>0.01292812116</v>
      </c>
      <c r="G18" s="9">
        <f>'Capital Gains'!I18</f>
        <v>0</v>
      </c>
      <c r="H18" s="9">
        <f>'Inherited and Roth IRA'!H18</f>
        <v>232393.974</v>
      </c>
      <c r="I18" s="9">
        <f>'Inherited and Roth IRA'!O18</f>
        <v>8849628.038</v>
      </c>
      <c r="J18" s="9">
        <f t="shared" si="2"/>
        <v>9082022.012</v>
      </c>
      <c r="K18" s="9"/>
      <c r="L18" s="9"/>
      <c r="M18" s="9"/>
      <c r="N18" s="9"/>
      <c r="O18" s="9"/>
      <c r="P18" s="9"/>
    </row>
    <row r="19" ht="15.75" customHeight="1">
      <c r="A19" s="7">
        <f t="shared" si="4"/>
        <v>2043</v>
      </c>
      <c r="B19" s="9">
        <f>B18*(1+Assumptions!B$11)</f>
        <v>962823.8635</v>
      </c>
      <c r="C19" s="9">
        <f>'Outside Income'!F19</f>
        <v>300027.2797</v>
      </c>
      <c r="D19" s="9">
        <f t="shared" si="1"/>
        <v>662796.5838</v>
      </c>
      <c r="E19" s="9">
        <f>Taxes!Z19</f>
        <v>16312.43256</v>
      </c>
      <c r="F19" s="12">
        <f t="shared" si="3"/>
        <v>0.01694228112</v>
      </c>
      <c r="G19" s="9">
        <f>'Capital Gains'!I19</f>
        <v>0</v>
      </c>
      <c r="H19" s="9">
        <f>'Inherited and Roth IRA'!H19</f>
        <v>85211.1238</v>
      </c>
      <c r="I19" s="9">
        <f>'Inherited and Roth IRA'!O19</f>
        <v>9071794.258</v>
      </c>
      <c r="J19" s="9">
        <f t="shared" si="2"/>
        <v>9157005.382</v>
      </c>
      <c r="K19" s="9"/>
      <c r="L19" s="9"/>
      <c r="M19" s="9"/>
      <c r="N19" s="9"/>
      <c r="O19" s="9"/>
      <c r="P19" s="9"/>
    </row>
    <row r="20" ht="15.75" customHeight="1">
      <c r="A20" s="7">
        <f t="shared" si="4"/>
        <v>2044</v>
      </c>
      <c r="B20" s="9">
        <f>B19*(1+Assumptions!B$11)</f>
        <v>991708.5794</v>
      </c>
      <c r="C20" s="9">
        <f>'Outside Income'!F20</f>
        <v>230900.0671</v>
      </c>
      <c r="D20" s="9">
        <f t="shared" si="1"/>
        <v>760808.5122</v>
      </c>
      <c r="E20" s="9">
        <f>Taxes!Z20</f>
        <v>5639.390141</v>
      </c>
      <c r="F20" s="12">
        <f t="shared" si="3"/>
        <v>0.005686539633</v>
      </c>
      <c r="G20" s="9">
        <f>'Capital Gains'!I20</f>
        <v>0</v>
      </c>
      <c r="H20" s="9">
        <f>'Inherited and Roth IRA'!H20</f>
        <v>0</v>
      </c>
      <c r="I20" s="9">
        <f>'Inherited and Roth IRA'!O20</f>
        <v>9218165.171</v>
      </c>
      <c r="J20" s="9">
        <f t="shared" si="2"/>
        <v>9218165.171</v>
      </c>
      <c r="K20" s="9"/>
      <c r="L20" s="9"/>
      <c r="M20" s="9"/>
      <c r="N20" s="9"/>
      <c r="O20" s="9"/>
      <c r="P20" s="9"/>
    </row>
    <row r="21" ht="15.75" customHeight="1">
      <c r="A21" s="7">
        <f t="shared" si="4"/>
        <v>2045</v>
      </c>
      <c r="B21" s="9">
        <f>B20*(1+Assumptions!B$11)</f>
        <v>1021459.837</v>
      </c>
      <c r="C21" s="9">
        <f>'Outside Income'!F21</f>
        <v>146285.8328</v>
      </c>
      <c r="D21" s="9">
        <f t="shared" si="1"/>
        <v>875174.004</v>
      </c>
      <c r="E21" s="9">
        <f>Taxes!Z21</f>
        <v>0</v>
      </c>
      <c r="F21" s="12">
        <f t="shared" si="3"/>
        <v>0</v>
      </c>
      <c r="G21" s="9">
        <f>'Capital Gains'!I21</f>
        <v>0</v>
      </c>
      <c r="H21" s="9">
        <f>'Inherited and Roth IRA'!H21</f>
        <v>0</v>
      </c>
      <c r="I21" s="9">
        <f>'Inherited and Roth IRA'!O21</f>
        <v>9264807.685</v>
      </c>
      <c r="J21" s="9">
        <f t="shared" si="2"/>
        <v>9264807.685</v>
      </c>
      <c r="K21" s="9"/>
      <c r="L21" s="9"/>
      <c r="M21" s="9"/>
      <c r="N21" s="9"/>
      <c r="O21" s="9"/>
      <c r="P21" s="9"/>
    </row>
    <row r="22" ht="15.75" customHeight="1">
      <c r="A22" s="7">
        <f t="shared" si="4"/>
        <v>2046</v>
      </c>
      <c r="B22" s="9">
        <f>B21*(1+Assumptions!B$11)</f>
        <v>1052103.632</v>
      </c>
      <c r="C22" s="9">
        <f>'Outside Income'!F22</f>
        <v>146888.6911</v>
      </c>
      <c r="D22" s="9">
        <f t="shared" si="1"/>
        <v>905214.9407</v>
      </c>
      <c r="E22" s="9">
        <f>Taxes!Z22</f>
        <v>0</v>
      </c>
      <c r="F22" s="12">
        <f t="shared" si="3"/>
        <v>0</v>
      </c>
      <c r="G22" s="9">
        <f>'Capital Gains'!I22</f>
        <v>0</v>
      </c>
      <c r="H22" s="9">
        <f>'Inherited and Roth IRA'!H22</f>
        <v>0</v>
      </c>
      <c r="I22" s="9">
        <f>'Inherited and Roth IRA'!O22</f>
        <v>9286073.512</v>
      </c>
      <c r="J22" s="9">
        <f t="shared" si="2"/>
        <v>9286073.512</v>
      </c>
      <c r="K22" s="9"/>
      <c r="L22" s="9"/>
      <c r="M22" s="9"/>
      <c r="N22" s="9"/>
      <c r="O22" s="9"/>
      <c r="P22" s="9"/>
    </row>
    <row r="23" ht="15.75" customHeight="1">
      <c r="A23" s="7">
        <f t="shared" si="4"/>
        <v>2047</v>
      </c>
      <c r="B23" s="9">
        <f>B22*(1+Assumptions!B$11)</f>
        <v>1083666.741</v>
      </c>
      <c r="C23" s="9">
        <f>'Outside Income'!F23</f>
        <v>147497.578</v>
      </c>
      <c r="D23" s="9">
        <f t="shared" si="1"/>
        <v>936169.1628</v>
      </c>
      <c r="E23" s="9">
        <f>Taxes!Z23</f>
        <v>0</v>
      </c>
      <c r="F23" s="12">
        <f t="shared" si="3"/>
        <v>0</v>
      </c>
      <c r="G23" s="9">
        <f>'Capital Gains'!I23</f>
        <v>0</v>
      </c>
      <c r="H23" s="9">
        <f>'Inherited and Roth IRA'!H23</f>
        <v>0</v>
      </c>
      <c r="I23" s="9">
        <f>'Inherited and Roth IRA'!O23</f>
        <v>9278511.701</v>
      </c>
      <c r="J23" s="9">
        <f t="shared" si="2"/>
        <v>9278511.701</v>
      </c>
      <c r="K23" s="9"/>
      <c r="L23" s="9"/>
      <c r="M23" s="9"/>
      <c r="N23" s="9"/>
      <c r="O23" s="9"/>
      <c r="P23" s="9"/>
    </row>
    <row r="24" ht="15.75" customHeight="1">
      <c r="A24" s="7">
        <f t="shared" si="4"/>
        <v>2048</v>
      </c>
      <c r="B24" s="9">
        <f>B23*(1+Assumptions!B$11)</f>
        <v>1116176.743</v>
      </c>
      <c r="C24" s="9">
        <f>'Outside Income'!F24</f>
        <v>148112.5538</v>
      </c>
      <c r="D24" s="9">
        <f t="shared" si="1"/>
        <v>968064.1892</v>
      </c>
      <c r="E24" s="9">
        <f>Taxes!Z24</f>
        <v>0</v>
      </c>
      <c r="F24" s="12">
        <f t="shared" si="3"/>
        <v>0</v>
      </c>
      <c r="G24" s="9">
        <f>'Capital Gains'!I24</f>
        <v>0</v>
      </c>
      <c r="H24" s="9">
        <f>'Inherited and Roth IRA'!H24</f>
        <v>0</v>
      </c>
      <c r="I24" s="9">
        <f>'Inherited and Roth IRA'!O24</f>
        <v>9238298.682</v>
      </c>
      <c r="J24" s="9">
        <f t="shared" si="2"/>
        <v>9238298.682</v>
      </c>
      <c r="K24" s="9"/>
      <c r="L24" s="9"/>
      <c r="M24" s="9"/>
      <c r="N24" s="9"/>
      <c r="O24" s="9"/>
      <c r="P24" s="9"/>
    </row>
    <row r="25" ht="15.75" customHeight="1">
      <c r="A25" s="7">
        <f t="shared" si="4"/>
        <v>2049</v>
      </c>
      <c r="B25" s="9">
        <f>B24*(1+Assumptions!B$11)</f>
        <v>1149662.045</v>
      </c>
      <c r="C25" s="9">
        <f>'Outside Income'!F25</f>
        <v>148733.6793</v>
      </c>
      <c r="D25" s="9">
        <f t="shared" si="1"/>
        <v>1000928.366</v>
      </c>
      <c r="E25" s="9">
        <f>Taxes!Z25</f>
        <v>0</v>
      </c>
      <c r="F25" s="12">
        <f t="shared" si="3"/>
        <v>0</v>
      </c>
      <c r="G25" s="9">
        <f>'Capital Gains'!I25</f>
        <v>0</v>
      </c>
      <c r="H25" s="9">
        <f>'Inherited and Roth IRA'!H25</f>
        <v>0</v>
      </c>
      <c r="I25" s="9">
        <f>'Inherited and Roth IRA'!O25</f>
        <v>9161200.184</v>
      </c>
      <c r="J25" s="9">
        <f t="shared" si="2"/>
        <v>9161200.184</v>
      </c>
      <c r="K25" s="9"/>
      <c r="L25" s="9"/>
      <c r="M25" s="9"/>
      <c r="N25" s="9"/>
      <c r="O25" s="9"/>
      <c r="P25" s="9"/>
    </row>
    <row r="26" ht="15.75" customHeight="1">
      <c r="A26" s="7">
        <f t="shared" si="4"/>
        <v>2050</v>
      </c>
      <c r="B26" s="9">
        <f>B25*(1+Assumptions!B$11)</f>
        <v>1184151.907</v>
      </c>
      <c r="C26" s="9">
        <f>'Outside Income'!F26</f>
        <v>149361.0161</v>
      </c>
      <c r="D26" s="9">
        <f t="shared" si="1"/>
        <v>1034790.891</v>
      </c>
      <c r="E26" s="9">
        <f>Taxes!Z26</f>
        <v>0</v>
      </c>
      <c r="F26" s="12">
        <f t="shared" si="3"/>
        <v>0</v>
      </c>
      <c r="G26" s="9">
        <f>'Capital Gains'!I26</f>
        <v>0</v>
      </c>
      <c r="H26" s="9">
        <f>'Inherited and Roth IRA'!H26</f>
        <v>0</v>
      </c>
      <c r="I26" s="9">
        <f>'Inherited and Roth IRA'!O26</f>
        <v>9042529.312</v>
      </c>
      <c r="J26" s="9">
        <f t="shared" si="2"/>
        <v>9042529.312</v>
      </c>
      <c r="K26" s="9"/>
      <c r="L26" s="9"/>
      <c r="M26" s="9"/>
      <c r="N26" s="9"/>
      <c r="O26" s="9"/>
      <c r="P26" s="9"/>
    </row>
    <row r="27" ht="15.75" customHeight="1">
      <c r="A27" s="7">
        <f t="shared" si="4"/>
        <v>2051</v>
      </c>
      <c r="B27" s="9">
        <f>B26*(1+Assumptions!B$11)</f>
        <v>1219676.464</v>
      </c>
      <c r="C27" s="9">
        <f>'Outside Income'!F27</f>
        <v>149994.6263</v>
      </c>
      <c r="D27" s="9">
        <f t="shared" si="1"/>
        <v>1069681.838</v>
      </c>
      <c r="E27" s="9">
        <f>Taxes!Z27</f>
        <v>0</v>
      </c>
      <c r="F27" s="12">
        <f t="shared" si="3"/>
        <v>0</v>
      </c>
      <c r="G27" s="9">
        <f>'Capital Gains'!I27</f>
        <v>0</v>
      </c>
      <c r="H27" s="9">
        <f>'Inherited and Roth IRA'!H27</f>
        <v>0</v>
      </c>
      <c r="I27" s="9">
        <f>'Inherited and Roth IRA'!O27</f>
        <v>8877100.405</v>
      </c>
      <c r="J27" s="9">
        <f t="shared" si="2"/>
        <v>8877100.405</v>
      </c>
      <c r="K27" s="9"/>
      <c r="L27" s="9"/>
      <c r="M27" s="9"/>
      <c r="N27" s="9"/>
      <c r="O27" s="9"/>
      <c r="P27" s="9"/>
    </row>
    <row r="28" ht="15.75" customHeight="1">
      <c r="A28" s="7">
        <f t="shared" si="4"/>
        <v>2052</v>
      </c>
      <c r="B28" s="9">
        <f>B27*(1+Assumptions!B$11)</f>
        <v>1256266.758</v>
      </c>
      <c r="C28" s="9">
        <f>'Outside Income'!F28</f>
        <v>150634.5725</v>
      </c>
      <c r="D28" s="9">
        <f t="shared" si="1"/>
        <v>1105632.185</v>
      </c>
      <c r="E28" s="9">
        <f>Taxes!Z28</f>
        <v>0</v>
      </c>
      <c r="F28" s="12">
        <f t="shared" si="3"/>
        <v>0</v>
      </c>
      <c r="G28" s="9">
        <f>'Capital Gains'!I28</f>
        <v>0</v>
      </c>
      <c r="H28" s="9">
        <f>'Inherited and Roth IRA'!H28</f>
        <v>0</v>
      </c>
      <c r="I28" s="9">
        <f>'Inherited and Roth IRA'!O28</f>
        <v>8659178.26</v>
      </c>
      <c r="J28" s="9">
        <f t="shared" si="2"/>
        <v>8659178.26</v>
      </c>
      <c r="K28" s="9"/>
      <c r="L28" s="9"/>
      <c r="M28" s="9"/>
      <c r="N28" s="9"/>
      <c r="O28" s="9"/>
      <c r="P28" s="9"/>
    </row>
    <row r="29" ht="15.75" customHeight="1">
      <c r="A29" s="7">
        <f t="shared" si="4"/>
        <v>2053</v>
      </c>
      <c r="B29" s="9">
        <f>B28*(1+Assumptions!B$11)</f>
        <v>1293954.761</v>
      </c>
      <c r="C29" s="9">
        <f>'Outside Income'!F29</f>
        <v>151280.9183</v>
      </c>
      <c r="D29" s="9">
        <f t="shared" si="1"/>
        <v>1142673.842</v>
      </c>
      <c r="E29" s="9">
        <f>Taxes!Z29</f>
        <v>0</v>
      </c>
      <c r="F29" s="12">
        <f t="shared" si="3"/>
        <v>0</v>
      </c>
      <c r="G29" s="9">
        <f>'Capital Gains'!I29</f>
        <v>0</v>
      </c>
      <c r="H29" s="9">
        <f>'Inherited and Roth IRA'!H29</f>
        <v>0</v>
      </c>
      <c r="I29" s="9">
        <f>'Inherited and Roth IRA'!O29</f>
        <v>8382422.244</v>
      </c>
      <c r="J29" s="9">
        <f t="shared" si="2"/>
        <v>8382422.244</v>
      </c>
      <c r="K29" s="9"/>
      <c r="L29" s="9"/>
      <c r="M29" s="9"/>
      <c r="N29" s="9"/>
      <c r="O29" s="9"/>
      <c r="P29" s="9"/>
    </row>
    <row r="30" ht="15.75" customHeight="1">
      <c r="A30" s="7">
        <f t="shared" si="4"/>
        <v>2054</v>
      </c>
      <c r="B30" s="9">
        <f>B29*(1+Assumptions!B$11)</f>
        <v>1332773.403</v>
      </c>
      <c r="C30" s="9">
        <f>'Outside Income'!F30</f>
        <v>151933.7275</v>
      </c>
      <c r="D30" s="9">
        <f t="shared" si="1"/>
        <v>1180839.676</v>
      </c>
      <c r="E30" s="9">
        <f>Taxes!Z30</f>
        <v>0</v>
      </c>
      <c r="F30" s="12">
        <f t="shared" si="3"/>
        <v>0</v>
      </c>
      <c r="G30" s="9">
        <f>'Capital Gains'!I30</f>
        <v>0</v>
      </c>
      <c r="H30" s="9">
        <f>'Inherited and Roth IRA'!H30</f>
        <v>0</v>
      </c>
      <c r="I30" s="9">
        <f>'Inherited and Roth IRA'!O30</f>
        <v>8039824.793</v>
      </c>
      <c r="J30" s="9">
        <f t="shared" si="2"/>
        <v>8039824.793</v>
      </c>
      <c r="K30" s="9"/>
      <c r="L30" s="9"/>
      <c r="M30" s="9"/>
      <c r="N30" s="9"/>
      <c r="O30" s="9"/>
      <c r="P30" s="9"/>
    </row>
    <row r="31" ht="15.75" customHeight="1">
      <c r="A31" s="7">
        <f t="shared" si="4"/>
        <v>2055</v>
      </c>
      <c r="B31" s="9">
        <f>B30*(1+Assumptions!B$11)</f>
        <v>1372756.605</v>
      </c>
      <c r="C31" s="9">
        <f>'Outside Income'!F31</f>
        <v>152593.0647</v>
      </c>
      <c r="D31" s="9">
        <f t="shared" si="1"/>
        <v>1220163.541</v>
      </c>
      <c r="E31" s="9">
        <f>Taxes!Z31</f>
        <v>0</v>
      </c>
      <c r="F31" s="12">
        <f t="shared" si="3"/>
        <v>0</v>
      </c>
      <c r="G31" s="9">
        <f>'Capital Gains'!I31</f>
        <v>0</v>
      </c>
      <c r="H31" s="9">
        <f>'Inherited and Roth IRA'!H31</f>
        <v>0</v>
      </c>
      <c r="I31" s="9">
        <f>'Inherited and Roth IRA'!O31</f>
        <v>7623643.731</v>
      </c>
      <c r="J31" s="9">
        <f t="shared" si="2"/>
        <v>7623643.731</v>
      </c>
      <c r="K31" s="9"/>
      <c r="L31" s="9"/>
      <c r="M31" s="9"/>
      <c r="N31" s="9"/>
      <c r="O31" s="9"/>
      <c r="P31" s="9"/>
    </row>
    <row r="32" ht="15.75" customHeight="1">
      <c r="B32" s="9"/>
      <c r="C32" s="9"/>
      <c r="D32" s="9"/>
      <c r="E32" s="9"/>
      <c r="F32" s="12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ht="15.75" customHeight="1">
      <c r="B33" s="9">
        <f t="shared" ref="B33:E33" si="5">SUM(B2:B31)</f>
        <v>27131310.12</v>
      </c>
      <c r="C33" s="9">
        <f t="shared" si="5"/>
        <v>5692499.806</v>
      </c>
      <c r="D33" s="9">
        <f t="shared" si="5"/>
        <v>21499148.31</v>
      </c>
      <c r="E33" s="9">
        <f t="shared" si="5"/>
        <v>575757.7069</v>
      </c>
      <c r="F33" s="12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ht="15.75" customHeight="1">
      <c r="B34" s="9"/>
      <c r="C34" s="9"/>
      <c r="D34" s="9"/>
      <c r="E34" s="9"/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ht="15.75" customHeight="1">
      <c r="B35" s="9"/>
      <c r="C35" s="9"/>
      <c r="D35" s="9"/>
      <c r="E35" s="9"/>
      <c r="F35" s="12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ht="15.75" customHeight="1">
      <c r="B36" s="9"/>
      <c r="C36" s="9"/>
      <c r="D36" s="9"/>
      <c r="E36" s="9"/>
      <c r="F36" s="12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ht="15.75" customHeight="1">
      <c r="B37" s="9"/>
      <c r="C37" s="9"/>
      <c r="D37" s="9"/>
      <c r="E37" s="9"/>
      <c r="F37" s="12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ht="15.75" customHeight="1">
      <c r="B38" s="9"/>
      <c r="C38" s="9"/>
      <c r="D38" s="9"/>
      <c r="E38" s="9"/>
      <c r="F38" s="12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ht="15.75" customHeight="1">
      <c r="B39" s="9"/>
      <c r="C39" s="9"/>
      <c r="D39" s="9"/>
      <c r="E39" s="9"/>
      <c r="F39" s="12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ht="15.75" customHeight="1">
      <c r="B40" s="9"/>
      <c r="C40" s="9"/>
      <c r="D40" s="9"/>
      <c r="E40" s="9"/>
      <c r="F40" s="12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ht="15.75" customHeight="1">
      <c r="B41" s="9"/>
      <c r="C41" s="9"/>
      <c r="D41" s="9"/>
      <c r="E41" s="9"/>
      <c r="F41" s="12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ht="15.75" customHeight="1">
      <c r="B42" s="9"/>
      <c r="C42" s="9"/>
      <c r="D42" s="9"/>
      <c r="E42" s="9"/>
      <c r="F42" s="12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ht="15.75" customHeight="1">
      <c r="B43" s="9"/>
      <c r="C43" s="9"/>
      <c r="D43" s="9"/>
      <c r="E43" s="9"/>
      <c r="F43" s="12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ht="15.75" customHeight="1">
      <c r="B44" s="9"/>
      <c r="C44" s="9"/>
      <c r="D44" s="9"/>
      <c r="E44" s="9"/>
      <c r="F44" s="12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ht="15.75" customHeight="1">
      <c r="B45" s="9"/>
      <c r="C45" s="9"/>
      <c r="D45" s="9"/>
      <c r="E45" s="9"/>
      <c r="F45" s="12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ht="15.75" customHeight="1">
      <c r="B46" s="9"/>
      <c r="C46" s="9"/>
      <c r="D46" s="9"/>
      <c r="E46" s="9"/>
      <c r="F46" s="12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ht="15.75" customHeight="1">
      <c r="B47" s="9"/>
      <c r="C47" s="9"/>
      <c r="D47" s="9"/>
      <c r="E47" s="9"/>
      <c r="F47" s="12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ht="15.75" customHeight="1">
      <c r="B48" s="9"/>
      <c r="C48" s="9"/>
      <c r="D48" s="9"/>
      <c r="E48" s="9"/>
      <c r="F48" s="12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ht="15.75" customHeight="1">
      <c r="B49" s="9"/>
      <c r="C49" s="9"/>
      <c r="D49" s="9"/>
      <c r="E49" s="9"/>
      <c r="F49" s="12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ht="15.75" customHeight="1">
      <c r="B50" s="9"/>
      <c r="C50" s="9"/>
      <c r="D50" s="9"/>
      <c r="E50" s="9"/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ht="15.75" customHeight="1">
      <c r="B51" s="9"/>
      <c r="C51" s="9"/>
      <c r="D51" s="9"/>
      <c r="E51" s="9"/>
      <c r="F51" s="12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15.75" customHeight="1">
      <c r="B52" s="9"/>
      <c r="C52" s="9"/>
      <c r="D52" s="9"/>
      <c r="E52" s="9"/>
      <c r="F52" s="12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ht="15.75" customHeight="1">
      <c r="B53" s="9"/>
      <c r="C53" s="9"/>
      <c r="D53" s="9"/>
      <c r="E53" s="9"/>
      <c r="F53" s="12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ht="15.75" customHeight="1">
      <c r="B54" s="9"/>
      <c r="C54" s="9"/>
      <c r="D54" s="9"/>
      <c r="E54" s="9"/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ht="15.75" customHeight="1">
      <c r="B55" s="9"/>
      <c r="C55" s="9"/>
      <c r="D55" s="9"/>
      <c r="E55" s="9"/>
      <c r="F55" s="12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ht="15.75" customHeight="1">
      <c r="B56" s="9"/>
      <c r="C56" s="9"/>
      <c r="D56" s="9"/>
      <c r="E56" s="9"/>
      <c r="F56" s="12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ht="15.75" customHeight="1">
      <c r="B57" s="9"/>
      <c r="C57" s="9"/>
      <c r="D57" s="9"/>
      <c r="E57" s="9"/>
      <c r="F57" s="12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ht="15.75" customHeight="1">
      <c r="B58" s="9"/>
      <c r="C58" s="9"/>
      <c r="D58" s="9"/>
      <c r="E58" s="9"/>
      <c r="F58" s="12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ht="15.75" customHeight="1">
      <c r="B59" s="9"/>
      <c r="C59" s="9"/>
      <c r="D59" s="9"/>
      <c r="E59" s="9"/>
      <c r="F59" s="12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ht="15.75" customHeight="1">
      <c r="B60" s="9"/>
      <c r="C60" s="9"/>
      <c r="D60" s="9"/>
      <c r="E60" s="9"/>
      <c r="F60" s="12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ht="15.75" customHeight="1">
      <c r="B61" s="9"/>
      <c r="C61" s="9"/>
      <c r="D61" s="9"/>
      <c r="E61" s="9"/>
      <c r="F61" s="12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ht="15.75" customHeight="1">
      <c r="B62" s="9"/>
      <c r="C62" s="9"/>
      <c r="D62" s="9"/>
      <c r="E62" s="9"/>
      <c r="F62" s="12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ht="15.75" customHeight="1">
      <c r="B63" s="9"/>
      <c r="C63" s="9"/>
      <c r="D63" s="9"/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ht="15.75" customHeight="1">
      <c r="B64" s="9"/>
      <c r="C64" s="9"/>
      <c r="D64" s="9"/>
      <c r="E64" s="9"/>
      <c r="F64" s="12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5.75" customHeight="1">
      <c r="B65" s="9"/>
      <c r="C65" s="9"/>
      <c r="D65" s="9"/>
      <c r="E65" s="9"/>
      <c r="F65" s="12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5.75" customHeight="1">
      <c r="B66" s="9"/>
      <c r="C66" s="9"/>
      <c r="D66" s="9"/>
      <c r="E66" s="9"/>
      <c r="F66" s="12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ht="15.75" customHeight="1">
      <c r="B67" s="9"/>
      <c r="C67" s="9"/>
      <c r="D67" s="9"/>
      <c r="E67" s="9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ht="15.75" customHeight="1">
      <c r="B68" s="9"/>
      <c r="C68" s="9"/>
      <c r="D68" s="9"/>
      <c r="E68" s="9"/>
      <c r="F68" s="12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ht="15.75" customHeight="1">
      <c r="B69" s="9"/>
      <c r="C69" s="9"/>
      <c r="D69" s="9"/>
      <c r="E69" s="9"/>
      <c r="F69" s="12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ht="15.75" customHeight="1">
      <c r="B70" s="9"/>
      <c r="C70" s="9"/>
      <c r="D70" s="9"/>
      <c r="E70" s="9"/>
      <c r="F70" s="12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ht="15.75" customHeight="1">
      <c r="B71" s="9"/>
      <c r="C71" s="9"/>
      <c r="D71" s="9"/>
      <c r="E71" s="9"/>
      <c r="F71" s="12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ht="15.75" customHeight="1">
      <c r="B72" s="9"/>
      <c r="C72" s="9"/>
      <c r="D72" s="9"/>
      <c r="E72" s="9"/>
      <c r="F72" s="12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ht="15.75" customHeight="1">
      <c r="B73" s="9"/>
      <c r="C73" s="9"/>
      <c r="D73" s="9"/>
      <c r="E73" s="9"/>
      <c r="F73" s="12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ht="15.75" customHeight="1">
      <c r="B74" s="9"/>
      <c r="C74" s="9"/>
      <c r="D74" s="9"/>
      <c r="E74" s="9"/>
      <c r="F74" s="12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ht="15.75" customHeight="1">
      <c r="B75" s="9"/>
      <c r="C75" s="9"/>
      <c r="D75" s="9"/>
      <c r="E75" s="9"/>
      <c r="F75" s="12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ht="15.75" customHeight="1">
      <c r="B76" s="9"/>
      <c r="C76" s="9"/>
      <c r="D76" s="9"/>
      <c r="E76" s="9"/>
      <c r="F76" s="12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ht="15.75" customHeight="1">
      <c r="B77" s="9"/>
      <c r="C77" s="9"/>
      <c r="D77" s="9"/>
      <c r="E77" s="9"/>
      <c r="F77" s="12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ht="15.75" customHeight="1">
      <c r="B78" s="9"/>
      <c r="C78" s="9"/>
      <c r="D78" s="9"/>
      <c r="E78" s="9"/>
      <c r="F78" s="12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ht="15.75" customHeight="1">
      <c r="B79" s="9"/>
      <c r="C79" s="9"/>
      <c r="D79" s="9"/>
      <c r="E79" s="9"/>
      <c r="F79" s="12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ht="15.75" customHeight="1">
      <c r="B80" s="9"/>
      <c r="C80" s="9"/>
      <c r="D80" s="9"/>
      <c r="E80" s="9"/>
      <c r="F80" s="12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ht="15.75" customHeight="1">
      <c r="B81" s="9"/>
      <c r="C81" s="9"/>
      <c r="D81" s="9"/>
      <c r="E81" s="9"/>
      <c r="F81" s="12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ht="15.75" customHeight="1">
      <c r="B82" s="9"/>
      <c r="C82" s="9"/>
      <c r="D82" s="9"/>
      <c r="E82" s="9"/>
      <c r="F82" s="12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ht="15.75" customHeight="1">
      <c r="B83" s="9"/>
      <c r="C83" s="9"/>
      <c r="D83" s="9"/>
      <c r="E83" s="9"/>
      <c r="F83" s="12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ht="15.75" customHeight="1">
      <c r="B84" s="9"/>
      <c r="C84" s="9"/>
      <c r="D84" s="9"/>
      <c r="E84" s="9"/>
      <c r="F84" s="12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ht="15.75" customHeight="1">
      <c r="B85" s="9"/>
      <c r="C85" s="9"/>
      <c r="D85" s="9"/>
      <c r="E85" s="9"/>
      <c r="F85" s="12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ht="15.75" customHeight="1">
      <c r="B86" s="9"/>
      <c r="C86" s="9"/>
      <c r="D86" s="9"/>
      <c r="E86" s="9"/>
      <c r="F86" s="12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ht="15.75" customHeight="1">
      <c r="B87" s="9"/>
      <c r="C87" s="9"/>
      <c r="D87" s="9"/>
      <c r="E87" s="9"/>
      <c r="F87" s="12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ht="15.75" customHeight="1">
      <c r="B88" s="9"/>
      <c r="C88" s="9"/>
      <c r="D88" s="9"/>
      <c r="E88" s="9"/>
      <c r="F88" s="12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ht="15.75" customHeight="1">
      <c r="B89" s="9"/>
      <c r="C89" s="9"/>
      <c r="D89" s="9"/>
      <c r="E89" s="9"/>
      <c r="F89" s="12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ht="15.75" customHeight="1">
      <c r="B90" s="9"/>
      <c r="C90" s="9"/>
      <c r="D90" s="9"/>
      <c r="E90" s="9"/>
      <c r="F90" s="12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ht="15.75" customHeight="1">
      <c r="B91" s="9"/>
      <c r="C91" s="9"/>
      <c r="D91" s="9"/>
      <c r="E91" s="9"/>
      <c r="F91" s="12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ht="15.75" customHeight="1">
      <c r="B92" s="9"/>
      <c r="C92" s="9"/>
      <c r="D92" s="9"/>
      <c r="E92" s="9"/>
      <c r="F92" s="12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ht="15.75" customHeight="1">
      <c r="B93" s="9"/>
      <c r="C93" s="9"/>
      <c r="D93" s="9"/>
      <c r="E93" s="9"/>
      <c r="F93" s="12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ht="15.75" customHeight="1">
      <c r="B94" s="9"/>
      <c r="C94" s="9"/>
      <c r="D94" s="9"/>
      <c r="E94" s="9"/>
      <c r="F94" s="12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ht="15.75" customHeight="1">
      <c r="B95" s="9"/>
      <c r="C95" s="9"/>
      <c r="D95" s="9"/>
      <c r="E95" s="9"/>
      <c r="F95" s="12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ht="15.75" customHeight="1">
      <c r="B96" s="9"/>
      <c r="C96" s="9"/>
      <c r="D96" s="9"/>
      <c r="E96" s="9"/>
      <c r="F96" s="12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ht="15.75" customHeight="1">
      <c r="B97" s="9"/>
      <c r="C97" s="9"/>
      <c r="D97" s="9"/>
      <c r="E97" s="9"/>
      <c r="F97" s="12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ht="15.75" customHeight="1">
      <c r="B98" s="9"/>
      <c r="C98" s="9"/>
      <c r="D98" s="9"/>
      <c r="E98" s="9"/>
      <c r="F98" s="12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ht="15.75" customHeight="1">
      <c r="B99" s="9"/>
      <c r="C99" s="9"/>
      <c r="D99" s="9"/>
      <c r="E99" s="9"/>
      <c r="F99" s="12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ht="15.75" customHeight="1">
      <c r="B100" s="9"/>
      <c r="C100" s="9"/>
      <c r="D100" s="9"/>
      <c r="E100" s="9"/>
      <c r="F100" s="12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ht="15.75" customHeight="1">
      <c r="B101" s="9"/>
      <c r="C101" s="9"/>
      <c r="D101" s="9"/>
      <c r="E101" s="9"/>
      <c r="F101" s="12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ht="15.75" customHeight="1">
      <c r="B102" s="9"/>
      <c r="C102" s="9"/>
      <c r="D102" s="9"/>
      <c r="E102" s="9"/>
      <c r="F102" s="12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ht="15.75" customHeight="1">
      <c r="B103" s="9"/>
      <c r="C103" s="9"/>
      <c r="D103" s="9"/>
      <c r="E103" s="9"/>
      <c r="F103" s="12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ht="15.75" customHeight="1">
      <c r="B104" s="9"/>
      <c r="C104" s="9"/>
      <c r="D104" s="9"/>
      <c r="E104" s="9"/>
      <c r="F104" s="12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ht="15.75" customHeight="1">
      <c r="B105" s="9"/>
      <c r="C105" s="9"/>
      <c r="D105" s="9"/>
      <c r="E105" s="9"/>
      <c r="F105" s="12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ht="15.75" customHeight="1">
      <c r="B106" s="9"/>
      <c r="C106" s="9"/>
      <c r="D106" s="9"/>
      <c r="E106" s="9"/>
      <c r="F106" s="12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ht="15.75" customHeight="1">
      <c r="B107" s="9"/>
      <c r="C107" s="9"/>
      <c r="D107" s="9"/>
      <c r="E107" s="9"/>
      <c r="F107" s="12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ht="15.75" customHeight="1">
      <c r="B108" s="9"/>
      <c r="C108" s="9"/>
      <c r="D108" s="9"/>
      <c r="E108" s="9"/>
      <c r="F108" s="12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ht="15.75" customHeight="1">
      <c r="B109" s="9"/>
      <c r="C109" s="9"/>
      <c r="D109" s="9"/>
      <c r="E109" s="9"/>
      <c r="F109" s="12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ht="15.75" customHeight="1">
      <c r="B110" s="9"/>
      <c r="C110" s="9"/>
      <c r="D110" s="9"/>
      <c r="E110" s="9"/>
      <c r="F110" s="12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ht="15.75" customHeight="1">
      <c r="B111" s="9"/>
      <c r="C111" s="9"/>
      <c r="D111" s="9"/>
      <c r="E111" s="9"/>
      <c r="F111" s="12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ht="15.75" customHeight="1">
      <c r="B112" s="9"/>
      <c r="C112" s="9"/>
      <c r="D112" s="9"/>
      <c r="E112" s="9"/>
      <c r="F112" s="12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ht="15.75" customHeight="1">
      <c r="B113" s="9"/>
      <c r="C113" s="9"/>
      <c r="D113" s="9"/>
      <c r="E113" s="9"/>
      <c r="F113" s="12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ht="15.75" customHeight="1">
      <c r="B114" s="9"/>
      <c r="C114" s="9"/>
      <c r="D114" s="9"/>
      <c r="E114" s="9"/>
      <c r="F114" s="12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ht="15.75" customHeight="1">
      <c r="B115" s="9"/>
      <c r="C115" s="9"/>
      <c r="D115" s="9"/>
      <c r="E115" s="9"/>
      <c r="F115" s="12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ht="15.75" customHeight="1">
      <c r="B116" s="9"/>
      <c r="C116" s="9"/>
      <c r="D116" s="9"/>
      <c r="E116" s="9"/>
      <c r="F116" s="12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ht="15.75" customHeight="1">
      <c r="B117" s="9"/>
      <c r="C117" s="9"/>
      <c r="D117" s="9"/>
      <c r="E117" s="9"/>
      <c r="F117" s="12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ht="15.75" customHeight="1">
      <c r="B118" s="9"/>
      <c r="C118" s="9"/>
      <c r="D118" s="9"/>
      <c r="E118" s="9"/>
      <c r="F118" s="12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ht="15.75" customHeight="1">
      <c r="B119" s="9"/>
      <c r="C119" s="9"/>
      <c r="D119" s="9"/>
      <c r="E119" s="9"/>
      <c r="F119" s="12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ht="15.75" customHeight="1">
      <c r="B120" s="9"/>
      <c r="C120" s="9"/>
      <c r="D120" s="9"/>
      <c r="E120" s="9"/>
      <c r="F120" s="12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ht="15.75" customHeight="1">
      <c r="B121" s="9"/>
      <c r="C121" s="9"/>
      <c r="D121" s="9"/>
      <c r="E121" s="9"/>
      <c r="F121" s="12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ht="15.75" customHeight="1">
      <c r="B122" s="9"/>
      <c r="C122" s="9"/>
      <c r="D122" s="9"/>
      <c r="E122" s="9"/>
      <c r="F122" s="12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ht="15.75" customHeight="1">
      <c r="B123" s="9"/>
      <c r="C123" s="9"/>
      <c r="D123" s="9"/>
      <c r="E123" s="9"/>
      <c r="F123" s="12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ht="15.75" customHeight="1">
      <c r="B124" s="9"/>
      <c r="C124" s="9"/>
      <c r="D124" s="9"/>
      <c r="E124" s="9"/>
      <c r="F124" s="12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ht="15.75" customHeight="1">
      <c r="B125" s="9"/>
      <c r="C125" s="9"/>
      <c r="D125" s="9"/>
      <c r="E125" s="9"/>
      <c r="F125" s="12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ht="15.75" customHeight="1">
      <c r="B126" s="9"/>
      <c r="C126" s="9"/>
      <c r="D126" s="9"/>
      <c r="E126" s="9"/>
      <c r="F126" s="12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ht="15.75" customHeight="1">
      <c r="B127" s="9"/>
      <c r="C127" s="9"/>
      <c r="D127" s="9"/>
      <c r="E127" s="9"/>
      <c r="F127" s="12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ht="15.75" customHeight="1">
      <c r="B128" s="9"/>
      <c r="C128" s="9"/>
      <c r="D128" s="9"/>
      <c r="E128" s="9"/>
      <c r="F128" s="12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ht="15.75" customHeight="1">
      <c r="B129" s="9"/>
      <c r="C129" s="9"/>
      <c r="D129" s="9"/>
      <c r="E129" s="9"/>
      <c r="F129" s="12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ht="15.75" customHeight="1">
      <c r="B130" s="9"/>
      <c r="C130" s="9"/>
      <c r="D130" s="9"/>
      <c r="E130" s="9"/>
      <c r="F130" s="12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ht="15.75" customHeight="1">
      <c r="B131" s="9"/>
      <c r="C131" s="9"/>
      <c r="D131" s="9"/>
      <c r="E131" s="9"/>
      <c r="F131" s="12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ht="15.75" customHeight="1">
      <c r="B132" s="9"/>
      <c r="C132" s="9"/>
      <c r="D132" s="9"/>
      <c r="E132" s="9"/>
      <c r="F132" s="12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ht="15.75" customHeight="1">
      <c r="B133" s="9"/>
      <c r="C133" s="9"/>
      <c r="D133" s="9"/>
      <c r="E133" s="9"/>
      <c r="F133" s="12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ht="15.75" customHeight="1">
      <c r="B134" s="9"/>
      <c r="C134" s="9"/>
      <c r="D134" s="9"/>
      <c r="E134" s="9"/>
      <c r="F134" s="12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ht="15.75" customHeight="1">
      <c r="B135" s="9"/>
      <c r="C135" s="9"/>
      <c r="D135" s="9"/>
      <c r="E135" s="9"/>
      <c r="F135" s="12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ht="15.75" customHeight="1">
      <c r="B136" s="9"/>
      <c r="C136" s="9"/>
      <c r="D136" s="9"/>
      <c r="E136" s="9"/>
      <c r="F136" s="12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ht="15.75" customHeight="1">
      <c r="B137" s="9"/>
      <c r="C137" s="9"/>
      <c r="D137" s="9"/>
      <c r="E137" s="9"/>
      <c r="F137" s="12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ht="15.75" customHeight="1">
      <c r="B138" s="9"/>
      <c r="C138" s="9"/>
      <c r="D138" s="9"/>
      <c r="E138" s="9"/>
      <c r="F138" s="12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ht="15.75" customHeight="1">
      <c r="B139" s="9"/>
      <c r="C139" s="9"/>
      <c r="D139" s="9"/>
      <c r="E139" s="9"/>
      <c r="F139" s="12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ht="15.75" customHeight="1">
      <c r="B140" s="9"/>
      <c r="C140" s="9"/>
      <c r="D140" s="9"/>
      <c r="E140" s="9"/>
      <c r="F140" s="12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ht="15.75" customHeight="1">
      <c r="B141" s="9"/>
      <c r="C141" s="9"/>
      <c r="D141" s="9"/>
      <c r="E141" s="9"/>
      <c r="F141" s="12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ht="15.75" customHeight="1">
      <c r="B142" s="9"/>
      <c r="C142" s="9"/>
      <c r="D142" s="9"/>
      <c r="E142" s="9"/>
      <c r="F142" s="12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ht="15.75" customHeight="1">
      <c r="B143" s="9"/>
      <c r="C143" s="9"/>
      <c r="D143" s="9"/>
      <c r="E143" s="9"/>
      <c r="F143" s="12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ht="15.75" customHeight="1">
      <c r="B144" s="9"/>
      <c r="C144" s="9"/>
      <c r="D144" s="9"/>
      <c r="E144" s="9"/>
      <c r="F144" s="12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ht="15.75" customHeight="1">
      <c r="B145" s="9"/>
      <c r="C145" s="9"/>
      <c r="D145" s="9"/>
      <c r="E145" s="9"/>
      <c r="F145" s="12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ht="15.75" customHeight="1">
      <c r="B146" s="9"/>
      <c r="C146" s="9"/>
      <c r="D146" s="9"/>
      <c r="E146" s="9"/>
      <c r="F146" s="12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ht="15.75" customHeight="1">
      <c r="B147" s="9"/>
      <c r="C147" s="9"/>
      <c r="D147" s="9"/>
      <c r="E147" s="9"/>
      <c r="F147" s="12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ht="15.75" customHeight="1">
      <c r="B148" s="9"/>
      <c r="C148" s="9"/>
      <c r="D148" s="9"/>
      <c r="E148" s="9"/>
      <c r="F148" s="12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ht="15.75" customHeight="1">
      <c r="B149" s="9"/>
      <c r="C149" s="9"/>
      <c r="D149" s="9"/>
      <c r="E149" s="9"/>
      <c r="F149" s="12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ht="15.75" customHeight="1">
      <c r="B150" s="9"/>
      <c r="C150" s="9"/>
      <c r="D150" s="9"/>
      <c r="E150" s="9"/>
      <c r="F150" s="12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ht="15.75" customHeight="1">
      <c r="B151" s="9"/>
      <c r="C151" s="9"/>
      <c r="D151" s="9"/>
      <c r="E151" s="9"/>
      <c r="F151" s="12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ht="15.75" customHeight="1">
      <c r="B152" s="9"/>
      <c r="C152" s="9"/>
      <c r="D152" s="9"/>
      <c r="E152" s="9"/>
      <c r="F152" s="12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ht="15.75" customHeight="1">
      <c r="B153" s="9"/>
      <c r="C153" s="9"/>
      <c r="D153" s="9"/>
      <c r="E153" s="9"/>
      <c r="F153" s="12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ht="15.75" customHeight="1">
      <c r="B154" s="9"/>
      <c r="C154" s="9"/>
      <c r="D154" s="9"/>
      <c r="E154" s="9"/>
      <c r="F154" s="12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ht="15.75" customHeight="1">
      <c r="B155" s="9"/>
      <c r="C155" s="9"/>
      <c r="D155" s="9"/>
      <c r="E155" s="9"/>
      <c r="F155" s="12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ht="15.75" customHeight="1">
      <c r="B156" s="9"/>
      <c r="C156" s="9"/>
      <c r="D156" s="9"/>
      <c r="E156" s="9"/>
      <c r="F156" s="12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ht="15.75" customHeight="1">
      <c r="B157" s="9"/>
      <c r="C157" s="9"/>
      <c r="D157" s="9"/>
      <c r="E157" s="9"/>
      <c r="F157" s="12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ht="15.75" customHeight="1">
      <c r="B158" s="9"/>
      <c r="C158" s="9"/>
      <c r="D158" s="9"/>
      <c r="E158" s="9"/>
      <c r="F158" s="12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ht="15.75" customHeight="1">
      <c r="B159" s="9"/>
      <c r="C159" s="9"/>
      <c r="D159" s="9"/>
      <c r="E159" s="9"/>
      <c r="F159" s="12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ht="15.75" customHeight="1">
      <c r="B160" s="9"/>
      <c r="C160" s="9"/>
      <c r="D160" s="9"/>
      <c r="E160" s="9"/>
      <c r="F160" s="12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ht="15.75" customHeight="1">
      <c r="B161" s="9"/>
      <c r="C161" s="9"/>
      <c r="D161" s="9"/>
      <c r="E161" s="9"/>
      <c r="F161" s="12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ht="15.75" customHeight="1">
      <c r="B162" s="9"/>
      <c r="C162" s="9"/>
      <c r="D162" s="9"/>
      <c r="E162" s="9"/>
      <c r="F162" s="12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ht="15.75" customHeight="1">
      <c r="B163" s="9"/>
      <c r="C163" s="9"/>
      <c r="D163" s="9"/>
      <c r="E163" s="9"/>
      <c r="F163" s="12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ht="15.75" customHeight="1">
      <c r="B164" s="9"/>
      <c r="C164" s="9"/>
      <c r="D164" s="9"/>
      <c r="E164" s="9"/>
      <c r="F164" s="12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ht="15.75" customHeight="1">
      <c r="B165" s="9"/>
      <c r="C165" s="9"/>
      <c r="D165" s="9"/>
      <c r="E165" s="9"/>
      <c r="F165" s="12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ht="15.75" customHeight="1">
      <c r="B166" s="9"/>
      <c r="C166" s="9"/>
      <c r="D166" s="9"/>
      <c r="E166" s="9"/>
      <c r="F166" s="12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ht="15.75" customHeight="1">
      <c r="B167" s="9"/>
      <c r="C167" s="9"/>
      <c r="D167" s="9"/>
      <c r="E167" s="9"/>
      <c r="F167" s="12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ht="15.75" customHeight="1">
      <c r="B168" s="9"/>
      <c r="C168" s="9"/>
      <c r="D168" s="9"/>
      <c r="E168" s="9"/>
      <c r="F168" s="12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ht="15.75" customHeight="1">
      <c r="B169" s="9"/>
      <c r="C169" s="9"/>
      <c r="D169" s="9"/>
      <c r="E169" s="9"/>
      <c r="F169" s="12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ht="15.75" customHeight="1">
      <c r="B170" s="9"/>
      <c r="C170" s="9"/>
      <c r="D170" s="9"/>
      <c r="E170" s="9"/>
      <c r="F170" s="12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ht="15.75" customHeight="1">
      <c r="B171" s="9"/>
      <c r="C171" s="9"/>
      <c r="D171" s="9"/>
      <c r="E171" s="9"/>
      <c r="F171" s="12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ht="15.75" customHeight="1">
      <c r="B172" s="9"/>
      <c r="C172" s="9"/>
      <c r="D172" s="9"/>
      <c r="E172" s="9"/>
      <c r="F172" s="12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ht="15.75" customHeight="1">
      <c r="B173" s="9"/>
      <c r="C173" s="9"/>
      <c r="D173" s="9"/>
      <c r="E173" s="9"/>
      <c r="F173" s="12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ht="15.75" customHeight="1">
      <c r="B174" s="9"/>
      <c r="C174" s="9"/>
      <c r="D174" s="9"/>
      <c r="E174" s="9"/>
      <c r="F174" s="12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ht="15.75" customHeight="1">
      <c r="B175" s="9"/>
      <c r="C175" s="9"/>
      <c r="D175" s="9"/>
      <c r="E175" s="9"/>
      <c r="F175" s="12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ht="15.75" customHeight="1">
      <c r="B176" s="9"/>
      <c r="C176" s="9"/>
      <c r="D176" s="9"/>
      <c r="E176" s="9"/>
      <c r="F176" s="12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ht="15.75" customHeight="1">
      <c r="B177" s="9"/>
      <c r="C177" s="9"/>
      <c r="D177" s="9"/>
      <c r="E177" s="9"/>
      <c r="F177" s="12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ht="15.75" customHeight="1">
      <c r="B178" s="9"/>
      <c r="C178" s="9"/>
      <c r="D178" s="9"/>
      <c r="E178" s="9"/>
      <c r="F178" s="12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ht="15.75" customHeight="1">
      <c r="B179" s="9"/>
      <c r="C179" s="9"/>
      <c r="D179" s="9"/>
      <c r="E179" s="9"/>
      <c r="F179" s="12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ht="15.75" customHeight="1">
      <c r="B180" s="9"/>
      <c r="C180" s="9"/>
      <c r="D180" s="9"/>
      <c r="E180" s="9"/>
      <c r="F180" s="12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ht="15.75" customHeight="1">
      <c r="B181" s="9"/>
      <c r="C181" s="9"/>
      <c r="D181" s="9"/>
      <c r="E181" s="9"/>
      <c r="F181" s="12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ht="15.75" customHeight="1">
      <c r="B182" s="9"/>
      <c r="C182" s="9"/>
      <c r="D182" s="9"/>
      <c r="E182" s="9"/>
      <c r="F182" s="12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ht="15.75" customHeight="1">
      <c r="B183" s="9"/>
      <c r="C183" s="9"/>
      <c r="D183" s="9"/>
      <c r="E183" s="9"/>
      <c r="F183" s="12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ht="15.75" customHeight="1">
      <c r="B184" s="9"/>
      <c r="C184" s="9"/>
      <c r="D184" s="9"/>
      <c r="E184" s="9"/>
      <c r="F184" s="12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ht="15.75" customHeight="1">
      <c r="B185" s="9"/>
      <c r="C185" s="9"/>
      <c r="D185" s="9"/>
      <c r="E185" s="9"/>
      <c r="F185" s="12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ht="15.75" customHeight="1">
      <c r="B186" s="9"/>
      <c r="C186" s="9"/>
      <c r="D186" s="9"/>
      <c r="E186" s="9"/>
      <c r="F186" s="12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ht="15.75" customHeight="1">
      <c r="B187" s="9"/>
      <c r="C187" s="9"/>
      <c r="D187" s="9"/>
      <c r="E187" s="9"/>
      <c r="F187" s="12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ht="15.75" customHeight="1">
      <c r="B188" s="9"/>
      <c r="C188" s="9"/>
      <c r="D188" s="9"/>
      <c r="E188" s="9"/>
      <c r="F188" s="12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ht="15.75" customHeight="1">
      <c r="B189" s="9"/>
      <c r="C189" s="9"/>
      <c r="D189" s="9"/>
      <c r="E189" s="9"/>
      <c r="F189" s="12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ht="15.75" customHeight="1">
      <c r="B190" s="9"/>
      <c r="C190" s="9"/>
      <c r="D190" s="9"/>
      <c r="E190" s="9"/>
      <c r="F190" s="12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ht="15.75" customHeight="1">
      <c r="B191" s="9"/>
      <c r="C191" s="9"/>
      <c r="D191" s="9"/>
      <c r="E191" s="9"/>
      <c r="F191" s="12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ht="15.75" customHeight="1">
      <c r="B192" s="9"/>
      <c r="C192" s="9"/>
      <c r="D192" s="9"/>
      <c r="E192" s="9"/>
      <c r="F192" s="12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ht="15.75" customHeight="1">
      <c r="B193" s="9"/>
      <c r="C193" s="9"/>
      <c r="D193" s="9"/>
      <c r="E193" s="9"/>
      <c r="F193" s="12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ht="15.75" customHeight="1">
      <c r="B194" s="9"/>
      <c r="C194" s="9"/>
      <c r="D194" s="9"/>
      <c r="E194" s="9"/>
      <c r="F194" s="12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ht="15.75" customHeight="1">
      <c r="B195" s="9"/>
      <c r="C195" s="9"/>
      <c r="D195" s="9"/>
      <c r="E195" s="9"/>
      <c r="F195" s="12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ht="15.75" customHeight="1">
      <c r="B196" s="9"/>
      <c r="C196" s="9"/>
      <c r="D196" s="9"/>
      <c r="E196" s="9"/>
      <c r="F196" s="12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ht="15.75" customHeight="1">
      <c r="B197" s="9"/>
      <c r="C197" s="9"/>
      <c r="D197" s="9"/>
      <c r="E197" s="9"/>
      <c r="F197" s="12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ht="15.75" customHeight="1">
      <c r="B198" s="9"/>
      <c r="C198" s="9"/>
      <c r="D198" s="9"/>
      <c r="E198" s="9"/>
      <c r="F198" s="12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ht="15.75" customHeight="1">
      <c r="B199" s="9"/>
      <c r="C199" s="9"/>
      <c r="D199" s="9"/>
      <c r="E199" s="9"/>
      <c r="F199" s="12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ht="15.75" customHeight="1">
      <c r="B200" s="9"/>
      <c r="C200" s="9"/>
      <c r="D200" s="9"/>
      <c r="E200" s="9"/>
      <c r="F200" s="12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ht="15.75" customHeight="1">
      <c r="B201" s="9"/>
      <c r="C201" s="9"/>
      <c r="D201" s="9"/>
      <c r="E201" s="9"/>
      <c r="F201" s="12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ht="15.75" customHeight="1">
      <c r="B202" s="9"/>
      <c r="C202" s="9"/>
      <c r="D202" s="9"/>
      <c r="E202" s="9"/>
      <c r="F202" s="12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ht="15.75" customHeight="1">
      <c r="B203" s="9"/>
      <c r="C203" s="9"/>
      <c r="D203" s="9"/>
      <c r="E203" s="9"/>
      <c r="F203" s="12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ht="15.75" customHeight="1">
      <c r="B204" s="9"/>
      <c r="C204" s="9"/>
      <c r="D204" s="9"/>
      <c r="E204" s="9"/>
      <c r="F204" s="12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ht="15.75" customHeight="1">
      <c r="B205" s="9"/>
      <c r="C205" s="9"/>
      <c r="D205" s="9"/>
      <c r="E205" s="9"/>
      <c r="F205" s="12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ht="15.75" customHeight="1">
      <c r="B206" s="9"/>
      <c r="C206" s="9"/>
      <c r="D206" s="9"/>
      <c r="E206" s="9"/>
      <c r="F206" s="12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ht="15.75" customHeight="1">
      <c r="B207" s="9"/>
      <c r="C207" s="9"/>
      <c r="D207" s="9"/>
      <c r="E207" s="9"/>
      <c r="F207" s="12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ht="15.75" customHeight="1">
      <c r="B208" s="9"/>
      <c r="C208" s="9"/>
      <c r="D208" s="9"/>
      <c r="E208" s="9"/>
      <c r="F208" s="12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ht="15.75" customHeight="1">
      <c r="B209" s="9"/>
      <c r="C209" s="9"/>
      <c r="D209" s="9"/>
      <c r="E209" s="9"/>
      <c r="F209" s="12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ht="15.75" customHeight="1">
      <c r="B210" s="9"/>
      <c r="C210" s="9"/>
      <c r="D210" s="9"/>
      <c r="E210" s="9"/>
      <c r="F210" s="12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ht="15.75" customHeight="1">
      <c r="B211" s="9"/>
      <c r="C211" s="9"/>
      <c r="D211" s="9"/>
      <c r="E211" s="9"/>
      <c r="F211" s="12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ht="15.75" customHeight="1">
      <c r="B212" s="9"/>
      <c r="C212" s="9"/>
      <c r="D212" s="9"/>
      <c r="E212" s="9"/>
      <c r="F212" s="12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ht="15.75" customHeight="1">
      <c r="B213" s="9"/>
      <c r="C213" s="9"/>
      <c r="D213" s="9"/>
      <c r="E213" s="9"/>
      <c r="F213" s="12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ht="15.75" customHeight="1">
      <c r="B214" s="9"/>
      <c r="C214" s="9"/>
      <c r="D214" s="9"/>
      <c r="E214" s="9"/>
      <c r="F214" s="12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ht="15.75" customHeight="1">
      <c r="B215" s="9"/>
      <c r="C215" s="9"/>
      <c r="D215" s="9"/>
      <c r="E215" s="9"/>
      <c r="F215" s="12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ht="15.75" customHeight="1">
      <c r="B216" s="9"/>
      <c r="C216" s="9"/>
      <c r="D216" s="9"/>
      <c r="E216" s="9"/>
      <c r="F216" s="12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ht="15.75" customHeight="1">
      <c r="B217" s="9"/>
      <c r="C217" s="9"/>
      <c r="D217" s="9"/>
      <c r="E217" s="9"/>
      <c r="F217" s="12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ht="15.75" customHeight="1">
      <c r="B218" s="9"/>
      <c r="C218" s="9"/>
      <c r="D218" s="9"/>
      <c r="E218" s="9"/>
      <c r="F218" s="12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ht="15.75" customHeight="1">
      <c r="B219" s="9"/>
      <c r="C219" s="9"/>
      <c r="D219" s="9"/>
      <c r="E219" s="9"/>
      <c r="F219" s="12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ht="15.75" customHeight="1">
      <c r="B220" s="9"/>
      <c r="C220" s="9"/>
      <c r="D220" s="9"/>
      <c r="E220" s="9"/>
      <c r="F220" s="12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ht="15.75" customHeight="1">
      <c r="B221" s="9"/>
      <c r="C221" s="9"/>
      <c r="D221" s="9"/>
      <c r="E221" s="9"/>
      <c r="F221" s="12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15.75" customHeight="1">
      <c r="B222" s="9"/>
      <c r="C222" s="9"/>
      <c r="D222" s="9"/>
      <c r="E222" s="9"/>
      <c r="F222" s="12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ht="15.75" customHeight="1">
      <c r="B223" s="9"/>
      <c r="C223" s="9"/>
      <c r="D223" s="9"/>
      <c r="E223" s="9"/>
      <c r="F223" s="12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ht="15.75" customHeight="1">
      <c r="B224" s="9"/>
      <c r="C224" s="9"/>
      <c r="D224" s="9"/>
      <c r="E224" s="9"/>
      <c r="F224" s="12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ht="15.75" customHeight="1">
      <c r="B225" s="9"/>
      <c r="C225" s="9"/>
      <c r="D225" s="9"/>
      <c r="E225" s="9"/>
      <c r="F225" s="12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ht="15.75" customHeight="1">
      <c r="B226" s="9"/>
      <c r="C226" s="9"/>
      <c r="D226" s="9"/>
      <c r="E226" s="9"/>
      <c r="F226" s="12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ht="15.75" customHeight="1">
      <c r="B227" s="9"/>
      <c r="C227" s="9"/>
      <c r="D227" s="9"/>
      <c r="E227" s="9"/>
      <c r="F227" s="12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ht="15.75" customHeight="1">
      <c r="B228" s="9"/>
      <c r="C228" s="9"/>
      <c r="D228" s="9"/>
      <c r="E228" s="9"/>
      <c r="F228" s="12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ht="15.75" customHeight="1">
      <c r="B229" s="9"/>
      <c r="C229" s="9"/>
      <c r="D229" s="9"/>
      <c r="E229" s="9"/>
      <c r="F229" s="12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ht="15.75" customHeight="1">
      <c r="B230" s="9"/>
      <c r="C230" s="9"/>
      <c r="D230" s="9"/>
      <c r="E230" s="9"/>
      <c r="F230" s="12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ht="15.75" customHeight="1">
      <c r="B231" s="9"/>
      <c r="C231" s="9"/>
      <c r="D231" s="9"/>
      <c r="E231" s="9"/>
      <c r="F231" s="12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ht="15.75" customHeight="1">
      <c r="B232" s="9"/>
      <c r="C232" s="9"/>
      <c r="D232" s="9"/>
      <c r="E232" s="9"/>
      <c r="F232" s="12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ht="15.75" customHeight="1">
      <c r="B233" s="9"/>
      <c r="C233" s="9"/>
      <c r="D233" s="9"/>
      <c r="E233" s="9"/>
      <c r="F233" s="12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8.75"/>
    <col customWidth="1" min="3" max="5" width="11.5"/>
    <col customWidth="1" min="6" max="6" width="9.63"/>
    <col customWidth="1" min="7" max="7" width="11.25"/>
    <col customWidth="1" min="9" max="9" width="11.0"/>
    <col customWidth="1" min="10" max="10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7</v>
      </c>
      <c r="F1" s="2" t="s">
        <v>12</v>
      </c>
      <c r="G1" s="2" t="s">
        <v>16</v>
      </c>
      <c r="H1" s="2" t="s">
        <v>19</v>
      </c>
      <c r="I1" s="2" t="s">
        <v>21</v>
      </c>
      <c r="J1" s="2" t="s">
        <v>23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4">
        <v>2026.0</v>
      </c>
      <c r="B2" s="6">
        <v>65.0</v>
      </c>
      <c r="C2" s="9">
        <f>Main!B2</f>
        <v>0</v>
      </c>
      <c r="D2" s="9">
        <f>Main!C2</f>
        <v>60338</v>
      </c>
      <c r="E2" s="9">
        <f>Main!D2</f>
        <v>0</v>
      </c>
      <c r="F2" s="9">
        <f>'Capital Gains'!D2</f>
        <v>0</v>
      </c>
      <c r="G2" s="9">
        <f t="shared" ref="G2:G31" si="2">MAX(0, E2 - F2)</f>
        <v>0</v>
      </c>
      <c r="H2" s="9">
        <f>'Inherited and Roth IRA'!G2</f>
        <v>33717.13315</v>
      </c>
      <c r="I2" s="9">
        <f>Main!J2</f>
        <v>6688350.758</v>
      </c>
      <c r="J2" s="13">
        <f>Main!E2</f>
        <v>39820.09278</v>
      </c>
      <c r="K2" s="9"/>
      <c r="L2" s="10"/>
    </row>
    <row r="3" ht="15.75" customHeight="1">
      <c r="A3" s="4">
        <f t="shared" ref="A3:B3" si="1">A2+1</f>
        <v>2027</v>
      </c>
      <c r="B3" s="6">
        <f t="shared" si="1"/>
        <v>66</v>
      </c>
      <c r="C3" s="9">
        <f>Main!B3</f>
        <v>600000</v>
      </c>
      <c r="D3" s="9">
        <f>Main!C3</f>
        <v>170117.1331</v>
      </c>
      <c r="E3" s="9">
        <f>Main!D3</f>
        <v>429882.8669</v>
      </c>
      <c r="F3" s="9">
        <f>'Capital Gains'!D3</f>
        <v>429882.8669</v>
      </c>
      <c r="G3" s="9">
        <f t="shared" si="2"/>
        <v>0</v>
      </c>
      <c r="H3" s="9">
        <f>'Inherited and Roth IRA'!G3</f>
        <v>33717.13315</v>
      </c>
      <c r="I3" s="9">
        <f>Main!J3</f>
        <v>6882576.552</v>
      </c>
      <c r="J3" s="13">
        <f>Main!E3</f>
        <v>16420.30348</v>
      </c>
      <c r="K3" s="9"/>
      <c r="L3" s="10"/>
    </row>
    <row r="4" ht="15.75" customHeight="1">
      <c r="A4" s="4">
        <f t="shared" ref="A4:B4" si="3">A3+1</f>
        <v>2028</v>
      </c>
      <c r="B4" s="6">
        <f t="shared" si="3"/>
        <v>67</v>
      </c>
      <c r="C4" s="9">
        <f>Main!B4</f>
        <v>618000</v>
      </c>
      <c r="D4" s="9">
        <f>Main!C4</f>
        <v>173992.8465</v>
      </c>
      <c r="E4" s="9">
        <f>Main!D4</f>
        <v>444007.1535</v>
      </c>
      <c r="F4" s="9">
        <f>'Capital Gains'!D4</f>
        <v>444007.1535</v>
      </c>
      <c r="G4" s="9">
        <f t="shared" si="2"/>
        <v>0</v>
      </c>
      <c r="H4" s="9">
        <f>'Inherited and Roth IRA'!G4</f>
        <v>37088.84646</v>
      </c>
      <c r="I4" s="9">
        <f>Main!J4</f>
        <v>7076427.833</v>
      </c>
      <c r="J4" s="13">
        <f>Main!E4</f>
        <v>19162.95271</v>
      </c>
      <c r="K4" s="9"/>
      <c r="L4" s="10"/>
    </row>
    <row r="5" ht="15.75" customHeight="1">
      <c r="A5" s="4">
        <f t="shared" ref="A5:B5" si="4">A4+1</f>
        <v>2029</v>
      </c>
      <c r="B5" s="6">
        <f t="shared" si="4"/>
        <v>68</v>
      </c>
      <c r="C5" s="9">
        <f>Main!B5</f>
        <v>636540</v>
      </c>
      <c r="D5" s="9">
        <f>Main!C5</f>
        <v>178210.7711</v>
      </c>
      <c r="E5" s="9">
        <f>Main!D5</f>
        <v>458329.2289</v>
      </c>
      <c r="F5" s="9">
        <f>'Capital Gains'!D5</f>
        <v>458329.2289</v>
      </c>
      <c r="G5" s="9">
        <f t="shared" si="2"/>
        <v>0</v>
      </c>
      <c r="H5" s="9">
        <f>'Inherited and Roth IRA'!G5</f>
        <v>40797.73111</v>
      </c>
      <c r="I5" s="9">
        <f>Main!J5</f>
        <v>7269074.809</v>
      </c>
      <c r="J5" s="13">
        <f>Main!E5</f>
        <v>22554.33946</v>
      </c>
      <c r="K5" s="9"/>
      <c r="L5" s="10"/>
    </row>
    <row r="6" ht="15.75" customHeight="1">
      <c r="A6" s="4">
        <f t="shared" ref="A6:B6" si="5">A5+1</f>
        <v>2030</v>
      </c>
      <c r="B6" s="6">
        <f t="shared" si="5"/>
        <v>69</v>
      </c>
      <c r="C6" s="9">
        <f>Main!B6</f>
        <v>655636.2</v>
      </c>
      <c r="D6" s="9">
        <f>Main!C6</f>
        <v>182804.6746</v>
      </c>
      <c r="E6" s="9">
        <f>Main!D6</f>
        <v>472831.5254</v>
      </c>
      <c r="F6" s="9">
        <f>'Capital Gains'!D6</f>
        <v>472831.5254</v>
      </c>
      <c r="G6" s="9">
        <f t="shared" si="2"/>
        <v>0</v>
      </c>
      <c r="H6" s="9">
        <f>'Inherited and Roth IRA'!G6</f>
        <v>44877.50422</v>
      </c>
      <c r="I6" s="9">
        <f>Main!J6</f>
        <v>7459562.714</v>
      </c>
      <c r="J6" s="13">
        <f>Main!E6</f>
        <v>26833.55108</v>
      </c>
      <c r="K6" s="9"/>
      <c r="L6" s="10"/>
    </row>
    <row r="7" ht="15.75" customHeight="1">
      <c r="A7" s="4">
        <f t="shared" ref="A7:B7" si="6">A6+1</f>
        <v>2031</v>
      </c>
      <c r="B7" s="6">
        <f t="shared" si="6"/>
        <v>70</v>
      </c>
      <c r="C7" s="9">
        <f>Main!B7</f>
        <v>675305.286</v>
      </c>
      <c r="D7" s="9">
        <f>Main!C7</f>
        <v>187811.6967</v>
      </c>
      <c r="E7" s="9">
        <f>Main!D7</f>
        <v>487493.5893</v>
      </c>
      <c r="F7" s="9">
        <f>'Capital Gains'!D7</f>
        <v>487493.5893</v>
      </c>
      <c r="G7" s="9">
        <f t="shared" si="2"/>
        <v>0</v>
      </c>
      <c r="H7" s="9">
        <f>'Inherited and Roth IRA'!G7</f>
        <v>49365.25464</v>
      </c>
      <c r="I7" s="9">
        <f>Main!J7</f>
        <v>7646796.317</v>
      </c>
      <c r="J7" s="13">
        <f>Main!E7</f>
        <v>30906.74057</v>
      </c>
      <c r="K7" s="9"/>
      <c r="L7" s="10"/>
    </row>
    <row r="8" ht="15.75" customHeight="1">
      <c r="A8" s="4">
        <f t="shared" ref="A8:B8" si="7">A7+1</f>
        <v>2032</v>
      </c>
      <c r="B8" s="6">
        <f t="shared" si="7"/>
        <v>71</v>
      </c>
      <c r="C8" s="9">
        <f>Main!B8</f>
        <v>695564.4446</v>
      </c>
      <c r="D8" s="9">
        <f>Main!C8</f>
        <v>193272.6866</v>
      </c>
      <c r="E8" s="9">
        <f>Main!D8</f>
        <v>502291.7579</v>
      </c>
      <c r="F8" s="9">
        <f>'Capital Gains'!D8</f>
        <v>502291.7579</v>
      </c>
      <c r="G8" s="9">
        <f t="shared" si="2"/>
        <v>0</v>
      </c>
      <c r="H8" s="9">
        <f>'Inherited and Roth IRA'!G8</f>
        <v>54301.78011</v>
      </c>
      <c r="I8" s="9">
        <f>Main!J8</f>
        <v>7829522.625</v>
      </c>
      <c r="J8" s="13">
        <f>Main!E8</f>
        <v>30922.41702</v>
      </c>
      <c r="K8" s="9"/>
      <c r="L8" s="10"/>
    </row>
    <row r="9" ht="15.75" customHeight="1">
      <c r="A9" s="4">
        <f t="shared" ref="A9:B9" si="8">A8+1</f>
        <v>2033</v>
      </c>
      <c r="B9" s="6">
        <f t="shared" si="8"/>
        <v>72</v>
      </c>
      <c r="C9" s="9">
        <f>Main!B9</f>
        <v>716431.3779</v>
      </c>
      <c r="D9" s="9">
        <f>Main!C9</f>
        <v>199232.5737</v>
      </c>
      <c r="E9" s="9">
        <f>Main!D9</f>
        <v>517198.8042</v>
      </c>
      <c r="F9" s="9">
        <f>'Capital Gains'!D9</f>
        <v>517198.8042</v>
      </c>
      <c r="G9" s="9">
        <f t="shared" si="2"/>
        <v>0</v>
      </c>
      <c r="H9" s="9">
        <f>'Inherited and Roth IRA'!G9</f>
        <v>59731.95812</v>
      </c>
      <c r="I9" s="9">
        <f>Main!J9</f>
        <v>8006311.582</v>
      </c>
      <c r="J9" s="13">
        <f>Main!E9</f>
        <v>25902.92859</v>
      </c>
      <c r="K9" s="9"/>
      <c r="L9" s="10"/>
    </row>
    <row r="10" ht="15.75" customHeight="1">
      <c r="A10" s="4">
        <f t="shared" ref="A10:B10" si="9">A9+1</f>
        <v>2034</v>
      </c>
      <c r="B10" s="6">
        <f t="shared" si="9"/>
        <v>73</v>
      </c>
      <c r="C10" s="9">
        <f>Main!B10</f>
        <v>737924.3193</v>
      </c>
      <c r="D10" s="9">
        <f>Main!C10</f>
        <v>205740.7757</v>
      </c>
      <c r="E10" s="9">
        <f>Main!D10</f>
        <v>532183.5436</v>
      </c>
      <c r="F10" s="9">
        <f>'Capital Gains'!D10</f>
        <v>532183.5436</v>
      </c>
      <c r="G10" s="9">
        <f t="shared" si="2"/>
        <v>0</v>
      </c>
      <c r="H10" s="9">
        <f>'Inherited and Roth IRA'!G10</f>
        <v>65705.15393</v>
      </c>
      <c r="I10" s="9">
        <f>Main!J10</f>
        <v>8175534.53</v>
      </c>
      <c r="J10" s="13">
        <f>Main!E10</f>
        <v>30016.87523</v>
      </c>
      <c r="K10" s="9"/>
      <c r="L10" s="10"/>
    </row>
    <row r="11" ht="15.75" customHeight="1">
      <c r="A11" s="4">
        <f t="shared" ref="A11:B11" si="10">A10+1</f>
        <v>2035</v>
      </c>
      <c r="B11" s="6">
        <f t="shared" si="10"/>
        <v>74</v>
      </c>
      <c r="C11" s="9">
        <f>Main!B11</f>
        <v>760062.0488</v>
      </c>
      <c r="D11" s="9">
        <f>Main!C11</f>
        <v>212851.6473</v>
      </c>
      <c r="E11" s="9">
        <f>Main!D11</f>
        <v>547210.4015</v>
      </c>
      <c r="F11" s="9">
        <f>'Capital Gains'!D11</f>
        <v>547210.4015</v>
      </c>
      <c r="G11" s="9">
        <f t="shared" si="2"/>
        <v>0</v>
      </c>
      <c r="H11" s="9">
        <f>'Inherited and Roth IRA'!G11</f>
        <v>72275.66932</v>
      </c>
      <c r="I11" s="9">
        <f>Main!J11</f>
        <v>8335340.187</v>
      </c>
      <c r="J11" s="13">
        <f>Main!E11</f>
        <v>34052.4999</v>
      </c>
      <c r="K11" s="9"/>
      <c r="L11" s="10"/>
    </row>
    <row r="12" ht="15.75" customHeight="1">
      <c r="A12" s="4">
        <f t="shared" ref="A12:B12" si="11">A11+1</f>
        <v>2036</v>
      </c>
      <c r="B12" s="6">
        <f t="shared" si="11"/>
        <v>75</v>
      </c>
      <c r="C12" s="9">
        <f>Main!B12</f>
        <v>782863.9103</v>
      </c>
      <c r="D12" s="9">
        <f>Main!C12</f>
        <v>220624.974</v>
      </c>
      <c r="E12" s="9">
        <f>Main!D12</f>
        <v>562238.9363</v>
      </c>
      <c r="F12" s="9">
        <f>'Capital Gains'!D12</f>
        <v>562238.9363</v>
      </c>
      <c r="G12" s="9">
        <f t="shared" si="2"/>
        <v>0</v>
      </c>
      <c r="H12" s="9">
        <f>'Inherited and Roth IRA'!G12</f>
        <v>79503.23626</v>
      </c>
      <c r="I12" s="9">
        <f>Main!J12</f>
        <v>8483627.865</v>
      </c>
      <c r="J12" s="13">
        <f>Main!E12</f>
        <v>38017.02746</v>
      </c>
      <c r="K12" s="9"/>
      <c r="L12" s="10"/>
    </row>
    <row r="13" ht="15.75" customHeight="1">
      <c r="A13" s="4">
        <f t="shared" ref="A13:B13" si="12">A12+1</f>
        <v>2037</v>
      </c>
      <c r="B13" s="6">
        <f t="shared" si="12"/>
        <v>76</v>
      </c>
      <c r="C13" s="9">
        <f>Main!B13</f>
        <v>806349.8276</v>
      </c>
      <c r="D13" s="9">
        <f>Main!C13</f>
        <v>229126.515</v>
      </c>
      <c r="E13" s="9">
        <f>Main!D13</f>
        <v>577223.3126</v>
      </c>
      <c r="F13" s="9">
        <f>'Capital Gains'!D13</f>
        <v>577223.3126</v>
      </c>
      <c r="G13" s="9">
        <f t="shared" si="2"/>
        <v>0</v>
      </c>
      <c r="H13" s="9">
        <f>'Inherited and Roth IRA'!G13</f>
        <v>87453.55988</v>
      </c>
      <c r="I13" s="9">
        <f>Main!J13</f>
        <v>8618017.613</v>
      </c>
      <c r="J13" s="13">
        <f>Main!E13</f>
        <v>41917.17675</v>
      </c>
      <c r="K13" s="9"/>
      <c r="L13" s="10"/>
    </row>
    <row r="14" ht="15.75" customHeight="1">
      <c r="A14" s="4">
        <f t="shared" ref="A14:B14" si="13">A13+1</f>
        <v>2038</v>
      </c>
      <c r="B14" s="6">
        <f t="shared" si="13"/>
        <v>77</v>
      </c>
      <c r="C14" s="9">
        <f>Main!B14</f>
        <v>830540.3224</v>
      </c>
      <c r="D14" s="9">
        <f>Main!C14</f>
        <v>238428.6005</v>
      </c>
      <c r="E14" s="9">
        <f>Main!D14</f>
        <v>592111.7219</v>
      </c>
      <c r="F14" s="9">
        <f>'Capital Gains'!D14</f>
        <v>592111.7219</v>
      </c>
      <c r="G14" s="9">
        <f t="shared" si="2"/>
        <v>0</v>
      </c>
      <c r="H14" s="9">
        <f>'Inherited and Roth IRA'!G14</f>
        <v>96198.91587</v>
      </c>
      <c r="I14" s="9">
        <f>Main!J14</f>
        <v>8735816.945</v>
      </c>
      <c r="J14" s="13">
        <f>Main!E14</f>
        <v>45759.16176</v>
      </c>
      <c r="K14" s="9"/>
      <c r="L14" s="10"/>
    </row>
    <row r="15" ht="15.75" customHeight="1">
      <c r="A15" s="4">
        <f t="shared" ref="A15:B15" si="14">A14+1</f>
        <v>2039</v>
      </c>
      <c r="B15" s="6">
        <f t="shared" si="14"/>
        <v>78</v>
      </c>
      <c r="C15" s="9">
        <f>Main!B15</f>
        <v>855456.5321</v>
      </c>
      <c r="D15" s="9">
        <f>Main!C15</f>
        <v>248610.789</v>
      </c>
      <c r="E15" s="9">
        <f>Main!D15</f>
        <v>606845.7431</v>
      </c>
      <c r="F15" s="9">
        <f>'Capital Gains'!D15</f>
        <v>606845.7431</v>
      </c>
      <c r="G15" s="9">
        <f t="shared" si="2"/>
        <v>0</v>
      </c>
      <c r="H15" s="9">
        <f>'Inherited and Roth IRA'!G15</f>
        <v>105818.8075</v>
      </c>
      <c r="I15" s="9">
        <f>Main!J15</f>
        <v>8833983.768</v>
      </c>
      <c r="J15" s="13">
        <f>Main!E15</f>
        <v>49661.98833</v>
      </c>
      <c r="K15" s="9"/>
      <c r="L15" s="10"/>
    </row>
    <row r="16" ht="15.75" customHeight="1">
      <c r="A16" s="4">
        <f t="shared" ref="A16:B16" si="15">A15+1</f>
        <v>2040</v>
      </c>
      <c r="B16" s="6">
        <f t="shared" si="15"/>
        <v>79</v>
      </c>
      <c r="C16" s="9">
        <f>Main!B16</f>
        <v>881120.2281</v>
      </c>
      <c r="D16" s="9">
        <f>Main!C16</f>
        <v>259760.5895</v>
      </c>
      <c r="E16" s="9">
        <f>Main!D16</f>
        <v>621359.6385</v>
      </c>
      <c r="F16" s="9">
        <f>'Capital Gains'!D16</f>
        <v>621359.6385</v>
      </c>
      <c r="G16" s="9">
        <f t="shared" si="2"/>
        <v>0</v>
      </c>
      <c r="H16" s="9">
        <f>'Inherited and Roth IRA'!G16</f>
        <v>116400.6882</v>
      </c>
      <c r="I16" s="9">
        <f>Main!J16</f>
        <v>8909085.098</v>
      </c>
      <c r="J16" s="13">
        <f>Main!E16</f>
        <v>54772.93232</v>
      </c>
      <c r="K16" s="9"/>
      <c r="L16" s="10"/>
    </row>
    <row r="17" ht="15.75" customHeight="1">
      <c r="A17" s="4">
        <f t="shared" ref="A17:B17" si="16">A16+1</f>
        <v>2041</v>
      </c>
      <c r="B17" s="6">
        <f t="shared" si="16"/>
        <v>80</v>
      </c>
      <c r="C17" s="9">
        <f>Main!B17</f>
        <v>907553.8349</v>
      </c>
      <c r="D17" s="9">
        <f>Main!C17</f>
        <v>271974.2574</v>
      </c>
      <c r="E17" s="9">
        <f>Main!D17</f>
        <v>635579.5775</v>
      </c>
      <c r="F17" s="9">
        <f>'Capital Gains'!D17</f>
        <v>359563.708</v>
      </c>
      <c r="G17" s="9">
        <f t="shared" si="2"/>
        <v>276015.8696</v>
      </c>
      <c r="H17" s="9">
        <f>'Inherited and Roth IRA'!G17</f>
        <v>128040.757</v>
      </c>
      <c r="I17" s="9">
        <f>Main!J17</f>
        <v>8987612.827</v>
      </c>
      <c r="J17" s="13">
        <f>Main!E17</f>
        <v>34999.9418</v>
      </c>
      <c r="K17" s="9"/>
      <c r="L17" s="10"/>
    </row>
    <row r="18" ht="15.75" customHeight="1">
      <c r="A18" s="4">
        <f t="shared" ref="A18:B18" si="17">A17+1</f>
        <v>2042</v>
      </c>
      <c r="B18" s="6">
        <f t="shared" si="17"/>
        <v>81</v>
      </c>
      <c r="C18" s="9">
        <f>Main!B18</f>
        <v>934780.45</v>
      </c>
      <c r="D18" s="9">
        <f>Main!C18</f>
        <v>285357.6681</v>
      </c>
      <c r="E18" s="9">
        <f>Main!D18</f>
        <v>649422.7819</v>
      </c>
      <c r="F18" s="9">
        <f>'Capital Gains'!D18</f>
        <v>0</v>
      </c>
      <c r="G18" s="9">
        <f t="shared" si="2"/>
        <v>649422.7819</v>
      </c>
      <c r="H18" s="9">
        <f>'Inherited and Roth IRA'!G18</f>
        <v>140844.8327</v>
      </c>
      <c r="I18" s="9">
        <f>Main!J18</f>
        <v>9082022.012</v>
      </c>
      <c r="J18" s="13">
        <f>Main!E18</f>
        <v>12084.95492</v>
      </c>
      <c r="K18" s="9"/>
      <c r="L18" s="10"/>
    </row>
    <row r="19" ht="15.75" customHeight="1">
      <c r="A19" s="4">
        <f t="shared" ref="A19:B19" si="18">A18+1</f>
        <v>2043</v>
      </c>
      <c r="B19" s="6">
        <f t="shared" si="18"/>
        <v>82</v>
      </c>
      <c r="C19" s="9">
        <f>Main!B19</f>
        <v>962823.8635</v>
      </c>
      <c r="D19" s="9">
        <f>Main!C19</f>
        <v>300027.2797</v>
      </c>
      <c r="E19" s="9">
        <f>Main!D19</f>
        <v>662796.5838</v>
      </c>
      <c r="F19" s="9">
        <f>'Capital Gains'!D19</f>
        <v>0</v>
      </c>
      <c r="G19" s="9">
        <f t="shared" si="2"/>
        <v>662796.5838</v>
      </c>
      <c r="H19" s="9">
        <f>'Inherited and Roth IRA'!G19</f>
        <v>154929.316</v>
      </c>
      <c r="I19" s="9">
        <f>Main!J19</f>
        <v>9157005.382</v>
      </c>
      <c r="J19" s="13">
        <f>Main!E19</f>
        <v>16312.43256</v>
      </c>
      <c r="K19" s="9"/>
      <c r="L19" s="10"/>
    </row>
    <row r="20" ht="15.75" customHeight="1">
      <c r="A20" s="4">
        <f t="shared" ref="A20:B20" si="19">A19+1</f>
        <v>2044</v>
      </c>
      <c r="B20" s="6">
        <f t="shared" si="19"/>
        <v>83</v>
      </c>
      <c r="C20" s="9">
        <f>Main!B20</f>
        <v>991708.5794</v>
      </c>
      <c r="D20" s="9">
        <f>Main!C20</f>
        <v>230900.0671</v>
      </c>
      <c r="E20" s="9">
        <f>Main!D20</f>
        <v>760808.5122</v>
      </c>
      <c r="F20" s="9">
        <f>'Capital Gains'!D20</f>
        <v>0</v>
      </c>
      <c r="G20" s="9">
        <f t="shared" si="2"/>
        <v>760808.5122</v>
      </c>
      <c r="H20" s="9">
        <f>'Inherited and Roth IRA'!G20</f>
        <v>85211.1238</v>
      </c>
      <c r="I20" s="9">
        <f>Main!J20</f>
        <v>9218165.171</v>
      </c>
      <c r="J20" s="13">
        <f>Main!E20</f>
        <v>5639.390141</v>
      </c>
      <c r="K20" s="9"/>
      <c r="L20" s="10"/>
    </row>
    <row r="21" ht="15.75" customHeight="1">
      <c r="A21" s="4">
        <f t="shared" ref="A21:B21" si="20">A20+1</f>
        <v>2045</v>
      </c>
      <c r="B21" s="6">
        <f t="shared" si="20"/>
        <v>84</v>
      </c>
      <c r="C21" s="9">
        <f>Main!B21</f>
        <v>1021459.837</v>
      </c>
      <c r="D21" s="9">
        <f>Main!C21</f>
        <v>146285.8328</v>
      </c>
      <c r="E21" s="9">
        <f>Main!D21</f>
        <v>875174.004</v>
      </c>
      <c r="F21" s="9">
        <f>'Capital Gains'!D21</f>
        <v>0</v>
      </c>
      <c r="G21" s="9">
        <f t="shared" si="2"/>
        <v>875174.004</v>
      </c>
      <c r="H21" s="9">
        <f>'Inherited and Roth IRA'!G21</f>
        <v>0</v>
      </c>
      <c r="I21" s="9">
        <f>Main!J21</f>
        <v>9264807.685</v>
      </c>
      <c r="J21" s="13">
        <f>Main!E21</f>
        <v>0</v>
      </c>
      <c r="K21" s="9"/>
      <c r="L21" s="10"/>
    </row>
    <row r="22" ht="15.75" customHeight="1">
      <c r="A22" s="4">
        <f t="shared" ref="A22:B22" si="21">A21+1</f>
        <v>2046</v>
      </c>
      <c r="B22" s="6">
        <f t="shared" si="21"/>
        <v>85</v>
      </c>
      <c r="C22" s="9">
        <f>Main!B22</f>
        <v>1052103.632</v>
      </c>
      <c r="D22" s="9">
        <f>Main!C22</f>
        <v>146888.6911</v>
      </c>
      <c r="E22" s="9">
        <f>Main!D22</f>
        <v>905214.9407</v>
      </c>
      <c r="F22" s="9">
        <f>'Capital Gains'!D22</f>
        <v>0</v>
      </c>
      <c r="G22" s="9">
        <f t="shared" si="2"/>
        <v>905214.9407</v>
      </c>
      <c r="H22" s="9">
        <f>'Inherited and Roth IRA'!G22</f>
        <v>0</v>
      </c>
      <c r="I22" s="9">
        <f>Main!J22</f>
        <v>9286073.512</v>
      </c>
      <c r="J22" s="13">
        <f>Main!E22</f>
        <v>0</v>
      </c>
      <c r="K22" s="9"/>
      <c r="L22" s="10"/>
    </row>
    <row r="23" ht="15.75" customHeight="1">
      <c r="A23" s="4">
        <f t="shared" ref="A23:B23" si="22">A22+1</f>
        <v>2047</v>
      </c>
      <c r="B23" s="6">
        <f t="shared" si="22"/>
        <v>86</v>
      </c>
      <c r="C23" s="9">
        <f>Main!B23</f>
        <v>1083666.741</v>
      </c>
      <c r="D23" s="9">
        <f>Main!C23</f>
        <v>147497.578</v>
      </c>
      <c r="E23" s="9">
        <f>Main!D23</f>
        <v>936169.1628</v>
      </c>
      <c r="F23" s="9">
        <f>'Capital Gains'!D23</f>
        <v>0</v>
      </c>
      <c r="G23" s="9">
        <f t="shared" si="2"/>
        <v>936169.1628</v>
      </c>
      <c r="H23" s="9">
        <f>'Inherited and Roth IRA'!G23</f>
        <v>0</v>
      </c>
      <c r="I23" s="9">
        <f>Main!J23</f>
        <v>9278511.701</v>
      </c>
      <c r="J23" s="13">
        <f>Main!E23</f>
        <v>0</v>
      </c>
      <c r="K23" s="9"/>
      <c r="L23" s="10"/>
    </row>
    <row r="24" ht="15.75" customHeight="1">
      <c r="A24" s="4">
        <f t="shared" ref="A24:B24" si="23">A23+1</f>
        <v>2048</v>
      </c>
      <c r="B24" s="6">
        <f t="shared" si="23"/>
        <v>87</v>
      </c>
      <c r="C24" s="9">
        <f>Main!B24</f>
        <v>1116176.743</v>
      </c>
      <c r="D24" s="9">
        <f>Main!C24</f>
        <v>148112.5538</v>
      </c>
      <c r="E24" s="9">
        <f>Main!D24</f>
        <v>968064.1892</v>
      </c>
      <c r="F24" s="9">
        <f>'Capital Gains'!D24</f>
        <v>0</v>
      </c>
      <c r="G24" s="9">
        <f t="shared" si="2"/>
        <v>968064.1892</v>
      </c>
      <c r="H24" s="9">
        <f>'Inherited and Roth IRA'!G24</f>
        <v>0</v>
      </c>
      <c r="I24" s="9">
        <f>Main!J24</f>
        <v>9238298.682</v>
      </c>
      <c r="J24" s="13">
        <f>Main!E24</f>
        <v>0</v>
      </c>
      <c r="K24" s="9"/>
      <c r="L24" s="10"/>
    </row>
    <row r="25" ht="15.75" customHeight="1">
      <c r="A25" s="4">
        <f t="shared" ref="A25:B25" si="24">A24+1</f>
        <v>2049</v>
      </c>
      <c r="B25" s="6">
        <f t="shared" si="24"/>
        <v>88</v>
      </c>
      <c r="C25" s="9">
        <f>Main!B25</f>
        <v>1149662.045</v>
      </c>
      <c r="D25" s="9">
        <f>Main!C25</f>
        <v>148733.6793</v>
      </c>
      <c r="E25" s="9">
        <f>Main!D25</f>
        <v>1000928.366</v>
      </c>
      <c r="F25" s="9">
        <f>'Capital Gains'!D25</f>
        <v>0</v>
      </c>
      <c r="G25" s="9">
        <f t="shared" si="2"/>
        <v>1000928.366</v>
      </c>
      <c r="H25" s="9">
        <f>'Inherited and Roth IRA'!G25</f>
        <v>0</v>
      </c>
      <c r="I25" s="9">
        <f>Main!J25</f>
        <v>9161200.184</v>
      </c>
      <c r="J25" s="13">
        <f>Main!E25</f>
        <v>0</v>
      </c>
      <c r="K25" s="9"/>
      <c r="L25" s="10"/>
    </row>
    <row r="26" ht="15.75" customHeight="1">
      <c r="A26" s="4">
        <f t="shared" ref="A26:B26" si="25">A25+1</f>
        <v>2050</v>
      </c>
      <c r="B26" s="6">
        <f t="shared" si="25"/>
        <v>89</v>
      </c>
      <c r="C26" s="9">
        <f>Main!B26</f>
        <v>1184151.907</v>
      </c>
      <c r="D26" s="9">
        <f>Main!C26</f>
        <v>149361.0161</v>
      </c>
      <c r="E26" s="9">
        <f>Main!D26</f>
        <v>1034790.891</v>
      </c>
      <c r="F26" s="9">
        <f>'Capital Gains'!D26</f>
        <v>0</v>
      </c>
      <c r="G26" s="9">
        <f t="shared" si="2"/>
        <v>1034790.891</v>
      </c>
      <c r="H26" s="9">
        <f>'Inherited and Roth IRA'!G26</f>
        <v>0</v>
      </c>
      <c r="I26" s="9">
        <f>Main!J26</f>
        <v>9042529.312</v>
      </c>
      <c r="J26" s="13">
        <f>Main!E26</f>
        <v>0</v>
      </c>
      <c r="K26" s="9"/>
      <c r="L26" s="10"/>
    </row>
    <row r="27" ht="15.75" customHeight="1">
      <c r="A27" s="4">
        <f t="shared" ref="A27:B27" si="26">A26+1</f>
        <v>2051</v>
      </c>
      <c r="B27" s="6">
        <f t="shared" si="26"/>
        <v>90</v>
      </c>
      <c r="C27" s="9">
        <f>Main!B27</f>
        <v>1219676.464</v>
      </c>
      <c r="D27" s="9">
        <f>Main!C27</f>
        <v>149994.6263</v>
      </c>
      <c r="E27" s="9">
        <f>Main!D27</f>
        <v>1069681.838</v>
      </c>
      <c r="F27" s="9">
        <f>'Capital Gains'!D27</f>
        <v>0</v>
      </c>
      <c r="G27" s="9">
        <f t="shared" si="2"/>
        <v>1069681.838</v>
      </c>
      <c r="H27" s="9">
        <f>'Inherited and Roth IRA'!G27</f>
        <v>0</v>
      </c>
      <c r="I27" s="9">
        <f>Main!J27</f>
        <v>8877100.405</v>
      </c>
      <c r="J27" s="13">
        <f>Main!E27</f>
        <v>0</v>
      </c>
      <c r="K27" s="9"/>
      <c r="L27" s="10"/>
    </row>
    <row r="28" ht="15.75" customHeight="1">
      <c r="A28" s="4">
        <f t="shared" ref="A28:B28" si="27">A27+1</f>
        <v>2052</v>
      </c>
      <c r="B28" s="6">
        <f t="shared" si="27"/>
        <v>91</v>
      </c>
      <c r="C28" s="9">
        <f>Main!B28</f>
        <v>1256266.758</v>
      </c>
      <c r="D28" s="9">
        <f>Main!C28</f>
        <v>150634.5725</v>
      </c>
      <c r="E28" s="9">
        <f>Main!D28</f>
        <v>1105632.185</v>
      </c>
      <c r="F28" s="9">
        <f>'Capital Gains'!D28</f>
        <v>0</v>
      </c>
      <c r="G28" s="9">
        <f t="shared" si="2"/>
        <v>1105632.185</v>
      </c>
      <c r="H28" s="9">
        <f>'Inherited and Roth IRA'!G28</f>
        <v>0</v>
      </c>
      <c r="I28" s="9">
        <f>Main!J28</f>
        <v>8659178.26</v>
      </c>
      <c r="J28" s="13">
        <f>Main!E28</f>
        <v>0</v>
      </c>
      <c r="K28" s="9"/>
      <c r="L28" s="10"/>
    </row>
    <row r="29" ht="15.75" customHeight="1">
      <c r="A29" s="4">
        <f t="shared" ref="A29:B29" si="28">A28+1</f>
        <v>2053</v>
      </c>
      <c r="B29" s="6">
        <f t="shared" si="28"/>
        <v>92</v>
      </c>
      <c r="C29" s="9">
        <f>Main!B29</f>
        <v>1293954.761</v>
      </c>
      <c r="D29" s="9">
        <f>Main!C29</f>
        <v>151280.9183</v>
      </c>
      <c r="E29" s="9">
        <f>Main!D29</f>
        <v>1142673.842</v>
      </c>
      <c r="F29" s="9">
        <f>'Capital Gains'!D29</f>
        <v>0</v>
      </c>
      <c r="G29" s="9">
        <f t="shared" si="2"/>
        <v>1142673.842</v>
      </c>
      <c r="H29" s="9">
        <f>'Inherited and Roth IRA'!G29</f>
        <v>0</v>
      </c>
      <c r="I29" s="9">
        <f>Main!J29</f>
        <v>8382422.244</v>
      </c>
      <c r="J29" s="13">
        <f>Main!E29</f>
        <v>0</v>
      </c>
      <c r="K29" s="9"/>
      <c r="L29" s="10"/>
    </row>
    <row r="30" ht="15.75" customHeight="1">
      <c r="A30" s="4">
        <f t="shared" ref="A30:B30" si="29">A29+1</f>
        <v>2054</v>
      </c>
      <c r="B30" s="6">
        <f t="shared" si="29"/>
        <v>93</v>
      </c>
      <c r="C30" s="9">
        <f>Main!B30</f>
        <v>1332773.403</v>
      </c>
      <c r="D30" s="9">
        <f>Main!C30</f>
        <v>151933.7275</v>
      </c>
      <c r="E30" s="9">
        <f>Main!D30</f>
        <v>1180839.676</v>
      </c>
      <c r="F30" s="9">
        <f>'Capital Gains'!D30</f>
        <v>0</v>
      </c>
      <c r="G30" s="9">
        <f t="shared" si="2"/>
        <v>1180839.676</v>
      </c>
      <c r="H30" s="9">
        <f>'Inherited and Roth IRA'!G30</f>
        <v>0</v>
      </c>
      <c r="I30" s="9">
        <f>Main!J30</f>
        <v>8039824.793</v>
      </c>
      <c r="J30" s="13">
        <f>Main!E30</f>
        <v>0</v>
      </c>
      <c r="K30" s="9"/>
      <c r="L30" s="10"/>
    </row>
    <row r="31" ht="15.75" customHeight="1">
      <c r="A31" s="4">
        <f t="shared" ref="A31:B31" si="30">A30+1</f>
        <v>2055</v>
      </c>
      <c r="B31" s="6">
        <f t="shared" si="30"/>
        <v>94</v>
      </c>
      <c r="C31" s="9">
        <f>Main!B31</f>
        <v>1372756.605</v>
      </c>
      <c r="D31" s="9">
        <f>Main!C31</f>
        <v>152593.0647</v>
      </c>
      <c r="E31" s="9">
        <f>Main!D31</f>
        <v>1220163.541</v>
      </c>
      <c r="F31" s="9">
        <f>'Capital Gains'!D31</f>
        <v>0</v>
      </c>
      <c r="G31" s="9">
        <f t="shared" si="2"/>
        <v>1220163.541</v>
      </c>
      <c r="H31" s="9">
        <f>'Inherited and Roth IRA'!G31</f>
        <v>0</v>
      </c>
      <c r="I31" s="9">
        <f>Main!J31</f>
        <v>7623643.731</v>
      </c>
      <c r="J31" s="13">
        <f>Main!E31</f>
        <v>0</v>
      </c>
      <c r="K31" s="9"/>
      <c r="L31" s="10"/>
    </row>
    <row r="32" ht="15.75" customHeight="1">
      <c r="A32" s="4"/>
      <c r="B32" s="6"/>
      <c r="C32" s="9"/>
      <c r="D32" s="9"/>
      <c r="E32" s="9"/>
      <c r="F32" s="9"/>
      <c r="G32" s="9"/>
      <c r="H32" s="9"/>
      <c r="I32" s="9"/>
      <c r="J32" s="13"/>
      <c r="K32" s="9"/>
      <c r="L32" s="10"/>
    </row>
    <row r="33" ht="15.75" customHeight="1">
      <c r="A33" s="57"/>
      <c r="B33" s="58"/>
      <c r="C33" s="56">
        <f t="shared" ref="C33:H33" si="31">SUM(C2:C31)</f>
        <v>27131310.12</v>
      </c>
      <c r="D33" s="56">
        <f t="shared" si="31"/>
        <v>5692499.806</v>
      </c>
      <c r="E33" s="56">
        <f t="shared" si="31"/>
        <v>21499148.31</v>
      </c>
      <c r="F33" s="56">
        <f t="shared" si="31"/>
        <v>7710771.932</v>
      </c>
      <c r="G33" s="56">
        <f t="shared" si="31"/>
        <v>13788376.38</v>
      </c>
      <c r="H33" s="56">
        <f t="shared" si="31"/>
        <v>1485979.401</v>
      </c>
      <c r="I33" s="56"/>
      <c r="J33" s="56">
        <f>SUM(J2:J31)</f>
        <v>575757.7069</v>
      </c>
      <c r="K33" s="56"/>
      <c r="L33" s="53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ht="15.75" customHeight="1">
      <c r="A34" s="4"/>
      <c r="B34" s="6"/>
      <c r="C34" s="9"/>
      <c r="D34" s="9"/>
      <c r="E34" s="9"/>
      <c r="F34" s="9"/>
      <c r="G34" s="9"/>
      <c r="H34" s="9"/>
      <c r="I34" s="9"/>
      <c r="J34" s="13"/>
      <c r="K34" s="9"/>
      <c r="L34" s="10"/>
    </row>
    <row r="35" ht="15.75" customHeight="1">
      <c r="A35" s="4"/>
      <c r="B35" s="6"/>
      <c r="C35" s="9"/>
      <c r="D35" s="9"/>
      <c r="E35" s="9"/>
      <c r="F35" s="9"/>
      <c r="G35" s="9"/>
      <c r="H35" s="9"/>
      <c r="I35" s="9"/>
      <c r="J35" s="13"/>
      <c r="K35" s="9"/>
      <c r="L35" s="10"/>
    </row>
    <row r="36" ht="15.75" customHeight="1">
      <c r="A36" s="4"/>
      <c r="B36" s="6"/>
      <c r="C36" s="9"/>
      <c r="D36" s="9"/>
      <c r="E36" s="9"/>
      <c r="F36" s="9"/>
      <c r="G36" s="9"/>
      <c r="H36" s="9"/>
      <c r="I36" s="9"/>
      <c r="J36" s="13"/>
      <c r="K36" s="9"/>
      <c r="L36" s="10"/>
    </row>
    <row r="37" ht="15.75" customHeight="1">
      <c r="A37" s="4"/>
      <c r="B37" s="6"/>
      <c r="C37" s="9"/>
      <c r="D37" s="9"/>
      <c r="E37" s="9"/>
      <c r="F37" s="9"/>
      <c r="G37" s="9"/>
      <c r="H37" s="9"/>
      <c r="I37" s="9"/>
      <c r="J37" s="13"/>
      <c r="K37" s="9"/>
      <c r="L37" s="10"/>
    </row>
    <row r="38" ht="15.75" customHeight="1">
      <c r="A38" s="4"/>
      <c r="B38" s="6"/>
      <c r="C38" s="9"/>
      <c r="D38" s="9"/>
      <c r="E38" s="9"/>
      <c r="F38" s="9"/>
      <c r="G38" s="9"/>
      <c r="H38" s="9"/>
      <c r="I38" s="9"/>
      <c r="J38" s="13"/>
      <c r="K38" s="9"/>
      <c r="L38" s="10"/>
    </row>
    <row r="39" ht="15.75" customHeight="1">
      <c r="A39" s="4"/>
      <c r="B39" s="6"/>
      <c r="C39" s="9"/>
      <c r="D39" s="9"/>
      <c r="E39" s="9"/>
      <c r="F39" s="9"/>
      <c r="G39" s="9"/>
      <c r="H39" s="9"/>
      <c r="I39" s="9"/>
      <c r="J39" s="13"/>
      <c r="K39" s="9"/>
      <c r="L39" s="10"/>
    </row>
    <row r="40" ht="15.75" customHeight="1">
      <c r="A40" s="4"/>
      <c r="B40" s="6"/>
      <c r="C40" s="9"/>
      <c r="D40" s="9"/>
      <c r="E40" s="9"/>
      <c r="F40" s="9"/>
      <c r="G40" s="9"/>
      <c r="H40" s="9"/>
      <c r="I40" s="9"/>
      <c r="J40" s="13"/>
      <c r="K40" s="9"/>
      <c r="L40" s="10"/>
    </row>
    <row r="41" ht="15.75" customHeight="1">
      <c r="A41" s="4"/>
      <c r="B41" s="6"/>
      <c r="C41" s="9"/>
      <c r="D41" s="9"/>
      <c r="E41" s="9"/>
      <c r="F41" s="9"/>
      <c r="G41" s="9"/>
      <c r="H41" s="9"/>
      <c r="I41" s="9"/>
      <c r="J41" s="13"/>
      <c r="K41" s="9"/>
      <c r="L41" s="10"/>
    </row>
    <row r="42" ht="15.75" customHeight="1">
      <c r="A42" s="4"/>
      <c r="B42" s="6"/>
      <c r="C42" s="9"/>
      <c r="D42" s="9"/>
      <c r="E42" s="9"/>
      <c r="F42" s="9"/>
      <c r="G42" s="9"/>
      <c r="H42" s="9"/>
      <c r="I42" s="9"/>
      <c r="J42" s="13"/>
      <c r="K42" s="9"/>
      <c r="L42" s="10"/>
    </row>
    <row r="43" ht="15.75" customHeight="1">
      <c r="A43" s="4"/>
      <c r="B43" s="6"/>
      <c r="C43" s="9"/>
      <c r="D43" s="9"/>
      <c r="E43" s="9"/>
      <c r="F43" s="9"/>
      <c r="G43" s="9"/>
      <c r="H43" s="9"/>
      <c r="I43" s="9"/>
      <c r="J43" s="13"/>
      <c r="K43" s="9"/>
      <c r="L43" s="10"/>
    </row>
    <row r="44" ht="15.75" customHeight="1">
      <c r="A44" s="4"/>
      <c r="B44" s="6"/>
      <c r="C44" s="9"/>
      <c r="D44" s="9"/>
      <c r="E44" s="9"/>
      <c r="F44" s="9"/>
      <c r="G44" s="9"/>
      <c r="H44" s="9"/>
      <c r="I44" s="9"/>
      <c r="J44" s="13"/>
      <c r="K44" s="9"/>
      <c r="L44" s="10"/>
    </row>
    <row r="45" ht="15.75" customHeight="1">
      <c r="A45" s="4"/>
      <c r="B45" s="6"/>
      <c r="C45" s="9"/>
      <c r="D45" s="9"/>
      <c r="E45" s="9"/>
      <c r="F45" s="9"/>
      <c r="G45" s="9"/>
      <c r="H45" s="9"/>
      <c r="I45" s="9"/>
      <c r="J45" s="13"/>
      <c r="K45" s="9"/>
      <c r="L45" s="10"/>
    </row>
    <row r="46" ht="15.75" customHeight="1">
      <c r="A46" s="4"/>
      <c r="B46" s="6"/>
      <c r="C46" s="9"/>
      <c r="D46" s="9"/>
      <c r="E46" s="9"/>
      <c r="F46" s="9"/>
      <c r="G46" s="9"/>
      <c r="H46" s="9"/>
      <c r="I46" s="9"/>
      <c r="J46" s="13"/>
      <c r="K46" s="9"/>
      <c r="L46" s="10"/>
    </row>
    <row r="47" ht="15.75" customHeight="1">
      <c r="A47" s="4"/>
      <c r="B47" s="6"/>
      <c r="C47" s="9"/>
      <c r="D47" s="9"/>
      <c r="E47" s="9"/>
      <c r="F47" s="9"/>
      <c r="G47" s="9"/>
      <c r="H47" s="9"/>
      <c r="I47" s="9"/>
      <c r="J47" s="13"/>
      <c r="K47" s="9"/>
      <c r="L47" s="10"/>
    </row>
    <row r="48" ht="15.75" customHeight="1">
      <c r="A48" s="4"/>
      <c r="B48" s="6"/>
      <c r="C48" s="9"/>
      <c r="D48" s="9"/>
      <c r="E48" s="9"/>
      <c r="F48" s="9"/>
      <c r="G48" s="9"/>
      <c r="H48" s="9"/>
      <c r="I48" s="9"/>
      <c r="J48" s="13"/>
      <c r="K48" s="9"/>
      <c r="L48" s="10"/>
    </row>
    <row r="49" ht="15.75" customHeight="1">
      <c r="A49" s="4"/>
      <c r="B49" s="6"/>
      <c r="C49" s="9"/>
      <c r="D49" s="9"/>
      <c r="E49" s="9"/>
      <c r="F49" s="9"/>
      <c r="G49" s="9"/>
      <c r="H49" s="9"/>
      <c r="I49" s="9"/>
      <c r="J49" s="13"/>
      <c r="K49" s="9"/>
      <c r="L49" s="10"/>
    </row>
    <row r="50" ht="15.75" customHeight="1">
      <c r="A50" s="4"/>
      <c r="B50" s="6"/>
      <c r="C50" s="9"/>
      <c r="D50" s="9"/>
      <c r="E50" s="9"/>
      <c r="F50" s="9"/>
      <c r="G50" s="9"/>
      <c r="H50" s="9"/>
      <c r="I50" s="9"/>
      <c r="J50" s="13"/>
      <c r="K50" s="9"/>
      <c r="L50" s="10"/>
    </row>
    <row r="51" ht="15.75" customHeight="1">
      <c r="A51" s="4"/>
      <c r="B51" s="6"/>
      <c r="C51" s="9"/>
      <c r="D51" s="9"/>
      <c r="E51" s="9"/>
      <c r="F51" s="9"/>
      <c r="G51" s="9"/>
      <c r="H51" s="9"/>
      <c r="I51" s="9"/>
      <c r="J51" s="13"/>
      <c r="K51" s="9"/>
      <c r="L51" s="10"/>
    </row>
    <row r="52" ht="15.75" customHeight="1">
      <c r="A52" s="4"/>
      <c r="B52" s="6"/>
      <c r="C52" s="9"/>
      <c r="D52" s="9"/>
      <c r="E52" s="9"/>
      <c r="F52" s="9"/>
      <c r="G52" s="9"/>
      <c r="H52" s="9"/>
      <c r="I52" s="9"/>
      <c r="J52" s="13"/>
      <c r="K52" s="9"/>
      <c r="L52" s="10"/>
    </row>
    <row r="53" ht="15.75" customHeight="1">
      <c r="A53" s="4"/>
      <c r="B53" s="6"/>
      <c r="C53" s="9"/>
      <c r="D53" s="9"/>
      <c r="E53" s="9"/>
      <c r="F53" s="9"/>
      <c r="G53" s="9"/>
      <c r="H53" s="9"/>
      <c r="I53" s="9"/>
      <c r="J53" s="13"/>
      <c r="K53" s="9"/>
      <c r="L53" s="10"/>
    </row>
    <row r="54" ht="15.75" customHeight="1">
      <c r="A54" s="4"/>
      <c r="B54" s="6"/>
      <c r="C54" s="9"/>
      <c r="D54" s="9"/>
      <c r="E54" s="9"/>
      <c r="F54" s="9"/>
      <c r="G54" s="9"/>
      <c r="H54" s="9"/>
      <c r="I54" s="9"/>
      <c r="J54" s="13"/>
      <c r="K54" s="9"/>
      <c r="L54" s="10"/>
    </row>
    <row r="55" ht="15.75" customHeight="1">
      <c r="A55" s="4"/>
      <c r="B55" s="6"/>
      <c r="C55" s="9"/>
      <c r="D55" s="9"/>
      <c r="E55" s="9"/>
      <c r="F55" s="9"/>
      <c r="G55" s="9"/>
      <c r="H55" s="9"/>
      <c r="I55" s="9"/>
      <c r="J55" s="13"/>
      <c r="K55" s="9"/>
      <c r="L55" s="10"/>
    </row>
    <row r="56" ht="15.75" customHeight="1">
      <c r="A56" s="4"/>
      <c r="B56" s="6"/>
      <c r="C56" s="9"/>
      <c r="D56" s="9"/>
      <c r="E56" s="9"/>
      <c r="F56" s="9"/>
      <c r="G56" s="9"/>
      <c r="H56" s="9"/>
      <c r="I56" s="9"/>
      <c r="J56" s="13"/>
      <c r="K56" s="9"/>
      <c r="L56" s="10"/>
    </row>
    <row r="57" ht="15.75" customHeight="1">
      <c r="A57" s="4"/>
      <c r="B57" s="6"/>
      <c r="C57" s="9"/>
      <c r="D57" s="9"/>
      <c r="E57" s="9"/>
      <c r="F57" s="9"/>
      <c r="G57" s="9"/>
      <c r="H57" s="9"/>
      <c r="I57" s="9"/>
      <c r="J57" s="13"/>
      <c r="K57" s="9"/>
      <c r="L57" s="10"/>
    </row>
    <row r="58" ht="15.75" customHeight="1">
      <c r="A58" s="4"/>
      <c r="B58" s="6"/>
      <c r="C58" s="9"/>
      <c r="D58" s="9"/>
      <c r="E58" s="9"/>
      <c r="F58" s="9"/>
      <c r="G58" s="9"/>
      <c r="H58" s="9"/>
      <c r="I58" s="9"/>
      <c r="J58" s="13"/>
      <c r="K58" s="9"/>
      <c r="L58" s="10"/>
    </row>
    <row r="59" ht="15.75" customHeight="1">
      <c r="A59" s="4"/>
      <c r="B59" s="6"/>
      <c r="C59" s="9"/>
      <c r="D59" s="9"/>
      <c r="E59" s="9"/>
      <c r="F59" s="9"/>
      <c r="G59" s="9"/>
      <c r="H59" s="9"/>
      <c r="I59" s="9"/>
      <c r="J59" s="13"/>
      <c r="K59" s="9"/>
      <c r="L59" s="10"/>
    </row>
    <row r="60" ht="15.75" customHeight="1">
      <c r="A60" s="4"/>
      <c r="B60" s="6"/>
      <c r="C60" s="9"/>
      <c r="D60" s="9"/>
      <c r="E60" s="9"/>
      <c r="F60" s="9"/>
      <c r="G60" s="9"/>
      <c r="H60" s="9"/>
      <c r="I60" s="9"/>
      <c r="J60" s="13"/>
      <c r="K60" s="9"/>
      <c r="L60" s="10"/>
    </row>
    <row r="61" ht="15.75" customHeight="1">
      <c r="A61" s="4"/>
      <c r="B61" s="6"/>
      <c r="C61" s="9"/>
      <c r="D61" s="9"/>
      <c r="E61" s="9"/>
      <c r="F61" s="9"/>
      <c r="G61" s="9"/>
      <c r="H61" s="9"/>
      <c r="I61" s="9"/>
      <c r="J61" s="13"/>
      <c r="K61" s="9"/>
      <c r="L61" s="10"/>
    </row>
    <row r="62" ht="15.75" customHeight="1">
      <c r="A62" s="4"/>
      <c r="B62" s="6"/>
      <c r="C62" s="9"/>
      <c r="D62" s="9"/>
      <c r="E62" s="9"/>
      <c r="F62" s="9"/>
      <c r="G62" s="9"/>
      <c r="H62" s="9"/>
      <c r="I62" s="9"/>
      <c r="J62" s="13"/>
      <c r="K62" s="9"/>
      <c r="L62" s="10"/>
    </row>
    <row r="63" ht="15.75" customHeight="1">
      <c r="A63" s="4"/>
      <c r="B63" s="6"/>
      <c r="C63" s="9"/>
      <c r="D63" s="9"/>
      <c r="E63" s="9"/>
      <c r="F63" s="9"/>
      <c r="G63" s="9"/>
      <c r="H63" s="9"/>
      <c r="I63" s="9"/>
      <c r="J63" s="13"/>
      <c r="K63" s="9"/>
      <c r="L63" s="10"/>
    </row>
    <row r="64" ht="15.75" customHeight="1">
      <c r="A64" s="4"/>
      <c r="B64" s="6"/>
      <c r="C64" s="9"/>
      <c r="D64" s="9"/>
      <c r="E64" s="9"/>
      <c r="F64" s="9"/>
      <c r="G64" s="9"/>
      <c r="H64" s="9"/>
      <c r="I64" s="9"/>
      <c r="J64" s="13"/>
      <c r="K64" s="9"/>
      <c r="L64" s="10"/>
    </row>
    <row r="65" ht="15.75" customHeight="1">
      <c r="A65" s="4"/>
      <c r="B65" s="6"/>
      <c r="C65" s="9"/>
      <c r="D65" s="9"/>
      <c r="E65" s="9"/>
      <c r="F65" s="9"/>
      <c r="G65" s="9"/>
      <c r="H65" s="9"/>
      <c r="I65" s="9"/>
      <c r="J65" s="13"/>
      <c r="K65" s="9"/>
      <c r="L65" s="10"/>
    </row>
    <row r="66" ht="15.75" customHeight="1">
      <c r="A66" s="4"/>
      <c r="B66" s="6"/>
      <c r="C66" s="9"/>
      <c r="D66" s="9"/>
      <c r="E66" s="9"/>
      <c r="F66" s="9"/>
      <c r="G66" s="9"/>
      <c r="H66" s="9"/>
      <c r="I66" s="9"/>
      <c r="J66" s="13"/>
      <c r="K66" s="9"/>
      <c r="L66" s="10"/>
    </row>
    <row r="67" ht="15.75" customHeight="1">
      <c r="A67" s="4"/>
      <c r="B67" s="6"/>
      <c r="C67" s="9"/>
      <c r="D67" s="9"/>
      <c r="E67" s="9"/>
      <c r="F67" s="9"/>
      <c r="G67" s="9"/>
      <c r="H67" s="9"/>
      <c r="I67" s="9"/>
      <c r="J67" s="13"/>
      <c r="K67" s="9"/>
      <c r="L67" s="10"/>
    </row>
    <row r="68" ht="15.75" customHeight="1">
      <c r="A68" s="4"/>
      <c r="B68" s="6"/>
      <c r="C68" s="9"/>
      <c r="D68" s="9"/>
      <c r="E68" s="9"/>
      <c r="F68" s="9"/>
      <c r="G68" s="9"/>
      <c r="H68" s="9"/>
      <c r="I68" s="9"/>
      <c r="J68" s="13"/>
      <c r="K68" s="9"/>
      <c r="L68" s="10"/>
    </row>
    <row r="69" ht="15.75" customHeight="1">
      <c r="A69" s="4"/>
      <c r="B69" s="6"/>
      <c r="C69" s="9"/>
      <c r="D69" s="9"/>
      <c r="E69" s="9"/>
      <c r="F69" s="9"/>
      <c r="G69" s="9"/>
      <c r="H69" s="9"/>
      <c r="I69" s="9"/>
      <c r="J69" s="13"/>
      <c r="K69" s="9"/>
      <c r="L69" s="10"/>
    </row>
    <row r="70" ht="15.75" customHeight="1">
      <c r="A70" s="4"/>
      <c r="B70" s="6"/>
      <c r="C70" s="9"/>
      <c r="D70" s="9"/>
      <c r="E70" s="9"/>
      <c r="F70" s="9"/>
      <c r="G70" s="9"/>
      <c r="H70" s="9"/>
      <c r="I70" s="9"/>
      <c r="J70" s="13"/>
      <c r="K70" s="9"/>
      <c r="L70" s="10"/>
    </row>
    <row r="71" ht="15.75" customHeight="1">
      <c r="A71" s="4"/>
      <c r="B71" s="6"/>
      <c r="C71" s="9"/>
      <c r="D71" s="9"/>
      <c r="E71" s="9"/>
      <c r="F71" s="9"/>
      <c r="G71" s="9"/>
      <c r="H71" s="9"/>
      <c r="I71" s="9"/>
      <c r="J71" s="13"/>
      <c r="K71" s="9"/>
      <c r="L71" s="10"/>
    </row>
    <row r="72" ht="15.75" customHeight="1">
      <c r="A72" s="4"/>
      <c r="B72" s="6"/>
      <c r="C72" s="9"/>
      <c r="D72" s="9"/>
      <c r="E72" s="9"/>
      <c r="F72" s="9"/>
      <c r="G72" s="9"/>
      <c r="H72" s="9"/>
      <c r="I72" s="9"/>
      <c r="J72" s="13"/>
      <c r="K72" s="9"/>
      <c r="L72" s="10"/>
    </row>
    <row r="73" ht="15.75" customHeight="1">
      <c r="A73" s="4"/>
      <c r="B73" s="6"/>
      <c r="C73" s="9"/>
      <c r="D73" s="9"/>
      <c r="E73" s="9"/>
      <c r="F73" s="9"/>
      <c r="G73" s="9"/>
      <c r="H73" s="9"/>
      <c r="I73" s="9"/>
      <c r="J73" s="13"/>
      <c r="K73" s="9"/>
      <c r="L73" s="10"/>
    </row>
    <row r="74" ht="15.75" customHeight="1">
      <c r="A74" s="4"/>
      <c r="B74" s="6"/>
      <c r="C74" s="9"/>
      <c r="D74" s="9"/>
      <c r="E74" s="9"/>
      <c r="F74" s="9"/>
      <c r="G74" s="9"/>
      <c r="H74" s="9"/>
      <c r="I74" s="9"/>
      <c r="J74" s="13"/>
      <c r="K74" s="9"/>
      <c r="L74" s="10"/>
    </row>
    <row r="75" ht="15.75" customHeight="1">
      <c r="A75" s="4"/>
      <c r="B75" s="6"/>
      <c r="C75" s="9"/>
      <c r="D75" s="9"/>
      <c r="E75" s="9"/>
      <c r="F75" s="9"/>
      <c r="G75" s="9"/>
      <c r="H75" s="9"/>
      <c r="I75" s="9"/>
      <c r="J75" s="13"/>
      <c r="K75" s="9"/>
      <c r="L75" s="10"/>
    </row>
    <row r="76" ht="15.75" customHeight="1">
      <c r="A76" s="4"/>
      <c r="B76" s="6"/>
      <c r="C76" s="9"/>
      <c r="D76" s="9"/>
      <c r="E76" s="9"/>
      <c r="F76" s="9"/>
      <c r="G76" s="9"/>
      <c r="H76" s="9"/>
      <c r="I76" s="9"/>
      <c r="J76" s="13"/>
      <c r="K76" s="9"/>
      <c r="L76" s="10"/>
    </row>
    <row r="77" ht="15.75" customHeight="1">
      <c r="A77" s="4"/>
      <c r="B77" s="6"/>
      <c r="C77" s="9"/>
      <c r="D77" s="9"/>
      <c r="E77" s="9"/>
      <c r="F77" s="9"/>
      <c r="G77" s="9"/>
      <c r="H77" s="9"/>
      <c r="I77" s="9"/>
      <c r="J77" s="13"/>
      <c r="K77" s="9"/>
      <c r="L77" s="10"/>
    </row>
    <row r="78" ht="15.75" customHeight="1">
      <c r="A78" s="4"/>
      <c r="B78" s="6"/>
      <c r="C78" s="9"/>
      <c r="D78" s="9"/>
      <c r="E78" s="9"/>
      <c r="F78" s="9"/>
      <c r="G78" s="9"/>
      <c r="H78" s="9"/>
      <c r="I78" s="9"/>
      <c r="J78" s="13"/>
      <c r="K78" s="9"/>
      <c r="L78" s="10"/>
    </row>
    <row r="79" ht="15.75" customHeight="1">
      <c r="A79" s="4"/>
      <c r="B79" s="6"/>
      <c r="C79" s="9"/>
      <c r="D79" s="9"/>
      <c r="E79" s="9"/>
      <c r="F79" s="9"/>
      <c r="G79" s="9"/>
      <c r="H79" s="9"/>
      <c r="I79" s="9"/>
      <c r="J79" s="13"/>
      <c r="K79" s="9"/>
      <c r="L79" s="10"/>
    </row>
    <row r="80" ht="15.75" customHeight="1">
      <c r="A80" s="4"/>
      <c r="B80" s="6"/>
      <c r="C80" s="9"/>
      <c r="D80" s="9"/>
      <c r="E80" s="9"/>
      <c r="F80" s="9"/>
      <c r="G80" s="9"/>
      <c r="H80" s="9"/>
      <c r="I80" s="9"/>
      <c r="J80" s="13"/>
      <c r="K80" s="9"/>
      <c r="L80" s="10"/>
    </row>
    <row r="81" ht="15.75" customHeight="1">
      <c r="A81" s="4"/>
      <c r="B81" s="6"/>
      <c r="C81" s="9"/>
      <c r="D81" s="9"/>
      <c r="E81" s="9"/>
      <c r="F81" s="9"/>
      <c r="G81" s="9"/>
      <c r="H81" s="9"/>
      <c r="I81" s="9"/>
      <c r="J81" s="13"/>
      <c r="K81" s="9"/>
      <c r="L81" s="10"/>
    </row>
    <row r="82" ht="15.75" customHeight="1">
      <c r="A82" s="4"/>
      <c r="B82" s="6"/>
      <c r="C82" s="9"/>
      <c r="D82" s="9"/>
      <c r="E82" s="9"/>
      <c r="F82" s="9"/>
      <c r="G82" s="9"/>
      <c r="H82" s="9"/>
      <c r="I82" s="9"/>
      <c r="J82" s="13"/>
      <c r="K82" s="9"/>
      <c r="L82" s="10"/>
    </row>
    <row r="83" ht="15.75" customHeight="1">
      <c r="A83" s="4"/>
      <c r="B83" s="6"/>
      <c r="C83" s="9"/>
      <c r="D83" s="9"/>
      <c r="E83" s="9"/>
      <c r="F83" s="9"/>
      <c r="G83" s="9"/>
      <c r="H83" s="9"/>
      <c r="I83" s="9"/>
      <c r="J83" s="13"/>
      <c r="K83" s="9"/>
      <c r="L83" s="10"/>
    </row>
    <row r="84" ht="15.75" customHeight="1">
      <c r="A84" s="4"/>
      <c r="B84" s="6"/>
      <c r="C84" s="9"/>
      <c r="D84" s="9"/>
      <c r="E84" s="9"/>
      <c r="F84" s="9"/>
      <c r="G84" s="9"/>
      <c r="H84" s="9"/>
      <c r="I84" s="9"/>
      <c r="J84" s="13"/>
      <c r="K84" s="9"/>
      <c r="L84" s="10"/>
    </row>
    <row r="85" ht="15.75" customHeight="1">
      <c r="A85" s="4"/>
      <c r="B85" s="6"/>
      <c r="C85" s="9"/>
      <c r="D85" s="9"/>
      <c r="E85" s="9"/>
      <c r="F85" s="9"/>
      <c r="G85" s="9"/>
      <c r="H85" s="9"/>
      <c r="I85" s="9"/>
      <c r="J85" s="13"/>
      <c r="K85" s="9"/>
      <c r="L85" s="10"/>
    </row>
    <row r="86" ht="15.75" customHeight="1">
      <c r="A86" s="4"/>
      <c r="B86" s="6"/>
      <c r="C86" s="9"/>
      <c r="D86" s="9"/>
      <c r="E86" s="9"/>
      <c r="F86" s="9"/>
      <c r="G86" s="9"/>
      <c r="H86" s="9"/>
      <c r="I86" s="9"/>
      <c r="J86" s="13"/>
      <c r="K86" s="9"/>
      <c r="L86" s="10"/>
    </row>
    <row r="87" ht="15.75" customHeight="1">
      <c r="A87" s="4"/>
      <c r="B87" s="6"/>
      <c r="C87" s="9"/>
      <c r="D87" s="9"/>
      <c r="E87" s="9"/>
      <c r="F87" s="9"/>
      <c r="G87" s="9"/>
      <c r="H87" s="9"/>
      <c r="I87" s="9"/>
      <c r="J87" s="13"/>
      <c r="K87" s="9"/>
      <c r="L87" s="10"/>
    </row>
    <row r="88" ht="15.75" customHeight="1">
      <c r="A88" s="4"/>
      <c r="B88" s="6"/>
      <c r="C88" s="9"/>
      <c r="D88" s="9"/>
      <c r="E88" s="9"/>
      <c r="F88" s="9"/>
      <c r="G88" s="9"/>
      <c r="H88" s="9"/>
      <c r="I88" s="9"/>
      <c r="J88" s="13"/>
      <c r="K88" s="9"/>
      <c r="L88" s="10"/>
    </row>
    <row r="89" ht="15.75" customHeight="1">
      <c r="A89" s="4"/>
      <c r="B89" s="6"/>
      <c r="C89" s="9"/>
      <c r="D89" s="9"/>
      <c r="E89" s="9"/>
      <c r="F89" s="9"/>
      <c r="G89" s="9"/>
      <c r="H89" s="9"/>
      <c r="I89" s="9"/>
      <c r="J89" s="13"/>
      <c r="K89" s="9"/>
      <c r="L89" s="10"/>
    </row>
    <row r="90" ht="15.75" customHeight="1">
      <c r="A90" s="4"/>
      <c r="B90" s="6"/>
      <c r="C90" s="9"/>
      <c r="D90" s="9"/>
      <c r="E90" s="9"/>
      <c r="F90" s="9"/>
      <c r="G90" s="9"/>
      <c r="H90" s="9"/>
      <c r="I90" s="9"/>
      <c r="J90" s="13"/>
      <c r="K90" s="9"/>
      <c r="L90" s="10"/>
    </row>
    <row r="91" ht="15.75" customHeight="1">
      <c r="A91" s="4"/>
      <c r="B91" s="6"/>
      <c r="C91" s="9"/>
      <c r="D91" s="9"/>
      <c r="E91" s="9"/>
      <c r="F91" s="9"/>
      <c r="G91" s="9"/>
      <c r="H91" s="9"/>
      <c r="I91" s="9"/>
      <c r="J91" s="13"/>
      <c r="K91" s="9"/>
      <c r="L91" s="10"/>
    </row>
    <row r="92" ht="15.75" customHeight="1">
      <c r="A92" s="4"/>
      <c r="B92" s="6"/>
      <c r="C92" s="9"/>
      <c r="D92" s="9"/>
      <c r="E92" s="9"/>
      <c r="F92" s="9"/>
      <c r="G92" s="9"/>
      <c r="H92" s="9"/>
      <c r="I92" s="9"/>
      <c r="J92" s="13"/>
      <c r="K92" s="9"/>
      <c r="L92" s="10"/>
    </row>
    <row r="93" ht="15.75" customHeight="1">
      <c r="A93" s="4"/>
      <c r="B93" s="6"/>
      <c r="C93" s="9"/>
      <c r="D93" s="9"/>
      <c r="E93" s="9"/>
      <c r="F93" s="9"/>
      <c r="G93" s="9"/>
      <c r="H93" s="9"/>
      <c r="I93" s="9"/>
      <c r="J93" s="13"/>
      <c r="K93" s="9"/>
      <c r="L93" s="10"/>
    </row>
    <row r="94" ht="15.75" customHeight="1">
      <c r="A94" s="4"/>
      <c r="B94" s="6"/>
      <c r="C94" s="9"/>
      <c r="D94" s="9"/>
      <c r="E94" s="9"/>
      <c r="F94" s="9"/>
      <c r="G94" s="9"/>
      <c r="H94" s="9"/>
      <c r="I94" s="9"/>
      <c r="J94" s="13"/>
      <c r="K94" s="9"/>
      <c r="L94" s="10"/>
    </row>
    <row r="95" ht="15.75" customHeight="1">
      <c r="A95" s="4"/>
      <c r="B95" s="6"/>
      <c r="C95" s="9"/>
      <c r="D95" s="9"/>
      <c r="E95" s="9"/>
      <c r="F95" s="9"/>
      <c r="G95" s="9"/>
      <c r="H95" s="9"/>
      <c r="I95" s="9"/>
      <c r="J95" s="13"/>
      <c r="K95" s="9"/>
      <c r="L95" s="10"/>
    </row>
    <row r="96" ht="15.75" customHeight="1">
      <c r="A96" s="4"/>
      <c r="B96" s="6"/>
      <c r="C96" s="9"/>
      <c r="D96" s="9"/>
      <c r="E96" s="9"/>
      <c r="F96" s="9"/>
      <c r="G96" s="9"/>
      <c r="H96" s="9"/>
      <c r="I96" s="9"/>
      <c r="J96" s="13"/>
      <c r="K96" s="9"/>
      <c r="L96" s="10"/>
    </row>
    <row r="97" ht="15.75" customHeight="1">
      <c r="A97" s="4"/>
      <c r="B97" s="6"/>
      <c r="C97" s="9"/>
      <c r="D97" s="9"/>
      <c r="E97" s="9"/>
      <c r="F97" s="9"/>
      <c r="G97" s="9"/>
      <c r="H97" s="9"/>
      <c r="I97" s="9"/>
      <c r="J97" s="13"/>
      <c r="K97" s="9"/>
      <c r="L97" s="10"/>
    </row>
    <row r="98" ht="15.75" customHeight="1">
      <c r="A98" s="4"/>
      <c r="B98" s="6"/>
      <c r="C98" s="9"/>
      <c r="D98" s="9"/>
      <c r="E98" s="9"/>
      <c r="F98" s="9"/>
      <c r="G98" s="9"/>
      <c r="H98" s="9"/>
      <c r="I98" s="9"/>
      <c r="J98" s="13"/>
      <c r="K98" s="9"/>
      <c r="L98" s="10"/>
    </row>
    <row r="99" ht="15.75" customHeight="1">
      <c r="A99" s="4"/>
      <c r="B99" s="6"/>
      <c r="C99" s="9"/>
      <c r="D99" s="9"/>
      <c r="E99" s="9"/>
      <c r="F99" s="9"/>
      <c r="G99" s="9"/>
      <c r="H99" s="9"/>
      <c r="I99" s="9"/>
      <c r="J99" s="13"/>
      <c r="K99" s="9"/>
      <c r="L99" s="10"/>
    </row>
    <row r="100" ht="15.75" customHeight="1">
      <c r="A100" s="4"/>
      <c r="B100" s="6"/>
      <c r="C100" s="9"/>
      <c r="D100" s="9"/>
      <c r="E100" s="9"/>
      <c r="F100" s="9"/>
      <c r="G100" s="9"/>
      <c r="H100" s="9"/>
      <c r="I100" s="9"/>
      <c r="J100" s="13"/>
      <c r="K100" s="9"/>
      <c r="L100" s="10"/>
    </row>
    <row r="101" ht="15.75" customHeight="1">
      <c r="A101" s="4"/>
      <c r="B101" s="6"/>
      <c r="C101" s="9"/>
      <c r="D101" s="9"/>
      <c r="E101" s="9"/>
      <c r="F101" s="9"/>
      <c r="G101" s="9"/>
      <c r="H101" s="9"/>
      <c r="I101" s="9"/>
      <c r="J101" s="13"/>
      <c r="K101" s="9"/>
      <c r="L101" s="10"/>
    </row>
    <row r="102" ht="15.75" customHeight="1">
      <c r="A102" s="4"/>
      <c r="B102" s="6"/>
      <c r="C102" s="9"/>
      <c r="D102" s="9"/>
      <c r="E102" s="9"/>
      <c r="F102" s="9"/>
      <c r="G102" s="9"/>
      <c r="H102" s="9"/>
      <c r="I102" s="9"/>
      <c r="J102" s="13"/>
      <c r="K102" s="9"/>
      <c r="L102" s="10"/>
    </row>
    <row r="103" ht="15.75" customHeight="1">
      <c r="A103" s="4"/>
      <c r="B103" s="6"/>
      <c r="C103" s="9"/>
      <c r="D103" s="9"/>
      <c r="E103" s="9"/>
      <c r="F103" s="9"/>
      <c r="G103" s="9"/>
      <c r="H103" s="9"/>
      <c r="I103" s="9"/>
      <c r="J103" s="13"/>
      <c r="K103" s="9"/>
      <c r="L103" s="10"/>
    </row>
    <row r="104" ht="15.75" customHeight="1">
      <c r="A104" s="4"/>
      <c r="B104" s="6"/>
      <c r="C104" s="9"/>
      <c r="D104" s="9"/>
      <c r="E104" s="9"/>
      <c r="F104" s="9"/>
      <c r="G104" s="9"/>
      <c r="H104" s="9"/>
      <c r="I104" s="9"/>
      <c r="J104" s="13"/>
      <c r="K104" s="9"/>
      <c r="L104" s="10"/>
    </row>
    <row r="105" ht="15.75" customHeight="1">
      <c r="A105" s="4"/>
      <c r="B105" s="6"/>
      <c r="C105" s="9"/>
      <c r="D105" s="9"/>
      <c r="E105" s="9"/>
      <c r="F105" s="9"/>
      <c r="G105" s="9"/>
      <c r="H105" s="9"/>
      <c r="I105" s="9"/>
      <c r="J105" s="13"/>
      <c r="K105" s="9"/>
      <c r="L105" s="10"/>
    </row>
    <row r="106" ht="15.75" customHeight="1">
      <c r="A106" s="4"/>
      <c r="B106" s="6"/>
      <c r="C106" s="9"/>
      <c r="D106" s="9"/>
      <c r="E106" s="9"/>
      <c r="F106" s="9"/>
      <c r="G106" s="9"/>
      <c r="H106" s="9"/>
      <c r="I106" s="9"/>
      <c r="J106" s="13"/>
      <c r="K106" s="9"/>
      <c r="L106" s="10"/>
    </row>
    <row r="107" ht="15.75" customHeight="1">
      <c r="A107" s="4"/>
      <c r="B107" s="6"/>
      <c r="C107" s="9"/>
      <c r="D107" s="9"/>
      <c r="E107" s="9"/>
      <c r="F107" s="9"/>
      <c r="G107" s="9"/>
      <c r="H107" s="9"/>
      <c r="I107" s="9"/>
      <c r="J107" s="13"/>
      <c r="K107" s="9"/>
      <c r="L107" s="10"/>
    </row>
    <row r="108" ht="15.75" customHeight="1">
      <c r="A108" s="4"/>
      <c r="B108" s="6"/>
      <c r="C108" s="9"/>
      <c r="D108" s="9"/>
      <c r="E108" s="9"/>
      <c r="F108" s="9"/>
      <c r="G108" s="9"/>
      <c r="H108" s="9"/>
      <c r="I108" s="9"/>
      <c r="J108" s="13"/>
      <c r="K108" s="9"/>
      <c r="L108" s="10"/>
    </row>
    <row r="109" ht="15.75" customHeight="1">
      <c r="A109" s="4"/>
      <c r="B109" s="6"/>
      <c r="C109" s="9"/>
      <c r="D109" s="9"/>
      <c r="E109" s="9"/>
      <c r="F109" s="9"/>
      <c r="G109" s="9"/>
      <c r="H109" s="9"/>
      <c r="I109" s="9"/>
      <c r="J109" s="13"/>
      <c r="K109" s="9"/>
      <c r="L109" s="10"/>
    </row>
    <row r="110" ht="15.75" customHeight="1">
      <c r="A110" s="4"/>
      <c r="B110" s="6"/>
      <c r="C110" s="9"/>
      <c r="D110" s="9"/>
      <c r="E110" s="9"/>
      <c r="F110" s="9"/>
      <c r="G110" s="9"/>
      <c r="H110" s="9"/>
      <c r="I110" s="9"/>
      <c r="J110" s="13"/>
      <c r="K110" s="9"/>
      <c r="L110" s="10"/>
    </row>
    <row r="111" ht="15.75" customHeight="1">
      <c r="A111" s="4"/>
      <c r="B111" s="6"/>
      <c r="C111" s="9"/>
      <c r="D111" s="9"/>
      <c r="E111" s="9"/>
      <c r="F111" s="9"/>
      <c r="G111" s="9"/>
      <c r="H111" s="9"/>
      <c r="I111" s="9"/>
      <c r="J111" s="13"/>
      <c r="K111" s="9"/>
      <c r="L111" s="10"/>
    </row>
    <row r="112" ht="15.75" customHeight="1">
      <c r="A112" s="4"/>
      <c r="B112" s="6"/>
      <c r="C112" s="9"/>
      <c r="D112" s="9"/>
      <c r="E112" s="9"/>
      <c r="F112" s="9"/>
      <c r="G112" s="9"/>
      <c r="H112" s="9"/>
      <c r="I112" s="9"/>
      <c r="J112" s="13"/>
      <c r="K112" s="9"/>
      <c r="L112" s="10"/>
    </row>
    <row r="113" ht="15.75" customHeight="1">
      <c r="A113" s="4"/>
      <c r="B113" s="6"/>
      <c r="C113" s="9"/>
      <c r="D113" s="9"/>
      <c r="E113" s="9"/>
      <c r="F113" s="9"/>
      <c r="G113" s="9"/>
      <c r="H113" s="9"/>
      <c r="I113" s="9"/>
      <c r="J113" s="13"/>
      <c r="K113" s="9"/>
      <c r="L113" s="10"/>
    </row>
    <row r="114" ht="15.75" customHeight="1">
      <c r="A114" s="4"/>
      <c r="B114" s="6"/>
      <c r="C114" s="9"/>
      <c r="D114" s="9"/>
      <c r="E114" s="9"/>
      <c r="F114" s="9"/>
      <c r="G114" s="9"/>
      <c r="H114" s="9"/>
      <c r="I114" s="9"/>
      <c r="J114" s="13"/>
      <c r="K114" s="9"/>
      <c r="L114" s="10"/>
    </row>
    <row r="115" ht="15.75" customHeight="1">
      <c r="A115" s="4"/>
      <c r="B115" s="6"/>
      <c r="C115" s="9"/>
      <c r="D115" s="9"/>
      <c r="E115" s="9"/>
      <c r="F115" s="9"/>
      <c r="G115" s="9"/>
      <c r="H115" s="9"/>
      <c r="I115" s="9"/>
      <c r="J115" s="13"/>
      <c r="K115" s="9"/>
      <c r="L115" s="10"/>
    </row>
    <row r="116" ht="15.75" customHeight="1">
      <c r="A116" s="4"/>
      <c r="B116" s="6"/>
      <c r="C116" s="9"/>
      <c r="D116" s="9"/>
      <c r="E116" s="9"/>
      <c r="F116" s="9"/>
      <c r="G116" s="9"/>
      <c r="H116" s="9"/>
      <c r="I116" s="9"/>
      <c r="J116" s="13"/>
      <c r="K116" s="9"/>
      <c r="L116" s="10"/>
    </row>
    <row r="117" ht="15.75" customHeight="1">
      <c r="A117" s="4"/>
      <c r="B117" s="6"/>
      <c r="C117" s="9"/>
      <c r="D117" s="9"/>
      <c r="E117" s="9"/>
      <c r="F117" s="9"/>
      <c r="G117" s="9"/>
      <c r="H117" s="9"/>
      <c r="I117" s="9"/>
      <c r="J117" s="13"/>
      <c r="K117" s="9"/>
      <c r="L117" s="10"/>
    </row>
    <row r="118" ht="15.75" customHeight="1">
      <c r="A118" s="4"/>
      <c r="B118" s="6"/>
      <c r="C118" s="9"/>
      <c r="D118" s="9"/>
      <c r="E118" s="9"/>
      <c r="F118" s="9"/>
      <c r="G118" s="9"/>
      <c r="H118" s="9"/>
      <c r="I118" s="9"/>
      <c r="J118" s="13"/>
      <c r="K118" s="9"/>
      <c r="L118" s="10"/>
    </row>
    <row r="119" ht="15.75" customHeight="1">
      <c r="A119" s="4"/>
      <c r="B119" s="6"/>
      <c r="C119" s="9"/>
      <c r="D119" s="9"/>
      <c r="E119" s="9"/>
      <c r="F119" s="9"/>
      <c r="G119" s="9"/>
      <c r="H119" s="9"/>
      <c r="I119" s="9"/>
      <c r="J119" s="13"/>
      <c r="K119" s="9"/>
      <c r="L119" s="10"/>
    </row>
    <row r="120" ht="15.75" customHeight="1">
      <c r="A120" s="4"/>
      <c r="B120" s="6"/>
      <c r="C120" s="9"/>
      <c r="D120" s="9"/>
      <c r="E120" s="9"/>
      <c r="F120" s="9"/>
      <c r="G120" s="9"/>
      <c r="H120" s="9"/>
      <c r="I120" s="9"/>
      <c r="J120" s="13"/>
      <c r="K120" s="9"/>
      <c r="L120" s="10"/>
    </row>
    <row r="121" ht="15.75" customHeight="1">
      <c r="A121" s="4"/>
      <c r="B121" s="6"/>
      <c r="C121" s="9"/>
      <c r="D121" s="9"/>
      <c r="E121" s="9"/>
      <c r="F121" s="9"/>
      <c r="G121" s="9"/>
      <c r="H121" s="9"/>
      <c r="I121" s="9"/>
      <c r="J121" s="13"/>
      <c r="K121" s="9"/>
      <c r="L121" s="10"/>
    </row>
    <row r="122" ht="15.75" customHeight="1">
      <c r="A122" s="4"/>
      <c r="B122" s="6"/>
      <c r="C122" s="9"/>
      <c r="D122" s="9"/>
      <c r="E122" s="9"/>
      <c r="F122" s="9"/>
      <c r="G122" s="9"/>
      <c r="H122" s="9"/>
      <c r="I122" s="9"/>
      <c r="J122" s="13"/>
      <c r="K122" s="9"/>
      <c r="L122" s="10"/>
    </row>
    <row r="123" ht="15.75" customHeight="1">
      <c r="A123" s="4"/>
      <c r="B123" s="6"/>
      <c r="C123" s="9"/>
      <c r="D123" s="9"/>
      <c r="E123" s="9"/>
      <c r="F123" s="9"/>
      <c r="G123" s="9"/>
      <c r="H123" s="9"/>
      <c r="I123" s="9"/>
      <c r="J123" s="13"/>
      <c r="K123" s="9"/>
      <c r="L123" s="10"/>
    </row>
    <row r="124" ht="15.75" customHeight="1">
      <c r="A124" s="4"/>
      <c r="B124" s="6"/>
      <c r="C124" s="9"/>
      <c r="D124" s="9"/>
      <c r="E124" s="9"/>
      <c r="F124" s="9"/>
      <c r="G124" s="9"/>
      <c r="H124" s="9"/>
      <c r="I124" s="9"/>
      <c r="J124" s="13"/>
      <c r="K124" s="9"/>
      <c r="L124" s="10"/>
    </row>
    <row r="125" ht="15.75" customHeight="1">
      <c r="A125" s="4"/>
      <c r="B125" s="6"/>
      <c r="C125" s="9"/>
      <c r="D125" s="9"/>
      <c r="E125" s="9"/>
      <c r="F125" s="9"/>
      <c r="G125" s="9"/>
      <c r="H125" s="9"/>
      <c r="I125" s="9"/>
      <c r="J125" s="13"/>
      <c r="K125" s="9"/>
      <c r="L125" s="10"/>
    </row>
    <row r="126" ht="15.75" customHeight="1">
      <c r="A126" s="4"/>
      <c r="B126" s="6"/>
      <c r="C126" s="9"/>
      <c r="D126" s="9"/>
      <c r="E126" s="9"/>
      <c r="F126" s="9"/>
      <c r="G126" s="9"/>
      <c r="H126" s="9"/>
      <c r="I126" s="9"/>
      <c r="J126" s="13"/>
      <c r="K126" s="9"/>
      <c r="L126" s="10"/>
    </row>
    <row r="127" ht="15.75" customHeight="1">
      <c r="A127" s="4"/>
      <c r="B127" s="6"/>
      <c r="C127" s="9"/>
      <c r="D127" s="9"/>
      <c r="E127" s="9"/>
      <c r="F127" s="9"/>
      <c r="G127" s="9"/>
      <c r="H127" s="9"/>
      <c r="I127" s="9"/>
      <c r="J127" s="13"/>
      <c r="K127" s="9"/>
      <c r="L127" s="10"/>
    </row>
    <row r="128" ht="15.75" customHeight="1">
      <c r="A128" s="4"/>
      <c r="B128" s="6"/>
      <c r="C128" s="9"/>
      <c r="D128" s="9"/>
      <c r="E128" s="9"/>
      <c r="F128" s="9"/>
      <c r="G128" s="9"/>
      <c r="H128" s="9"/>
      <c r="I128" s="9"/>
      <c r="J128" s="13"/>
      <c r="K128" s="9"/>
      <c r="L128" s="10"/>
    </row>
    <row r="129" ht="15.75" customHeight="1">
      <c r="A129" s="4"/>
      <c r="B129" s="6"/>
      <c r="C129" s="9"/>
      <c r="D129" s="9"/>
      <c r="E129" s="9"/>
      <c r="F129" s="9"/>
      <c r="G129" s="9"/>
      <c r="H129" s="9"/>
      <c r="I129" s="9"/>
      <c r="J129" s="13"/>
      <c r="K129" s="9"/>
      <c r="L129" s="10"/>
    </row>
    <row r="130" ht="15.75" customHeight="1">
      <c r="A130" s="4"/>
      <c r="B130" s="6"/>
      <c r="C130" s="9"/>
      <c r="D130" s="9"/>
      <c r="E130" s="9"/>
      <c r="F130" s="9"/>
      <c r="G130" s="9"/>
      <c r="H130" s="9"/>
      <c r="I130" s="9"/>
      <c r="J130" s="13"/>
      <c r="K130" s="9"/>
      <c r="L130" s="10"/>
    </row>
    <row r="131" ht="15.75" customHeight="1">
      <c r="A131" s="4"/>
      <c r="B131" s="6"/>
      <c r="C131" s="9"/>
      <c r="D131" s="9"/>
      <c r="E131" s="9"/>
      <c r="F131" s="9"/>
      <c r="G131" s="9"/>
      <c r="H131" s="9"/>
      <c r="I131" s="9"/>
      <c r="J131" s="13"/>
      <c r="K131" s="9"/>
      <c r="L131" s="10"/>
    </row>
    <row r="132" ht="15.75" customHeight="1">
      <c r="A132" s="4"/>
      <c r="B132" s="6"/>
      <c r="C132" s="9"/>
      <c r="D132" s="9"/>
      <c r="E132" s="9"/>
      <c r="F132" s="9"/>
      <c r="G132" s="9"/>
      <c r="H132" s="9"/>
      <c r="I132" s="9"/>
      <c r="J132" s="13"/>
      <c r="K132" s="9"/>
      <c r="L132" s="10"/>
    </row>
    <row r="133" ht="15.75" customHeight="1">
      <c r="A133" s="4"/>
      <c r="B133" s="6"/>
      <c r="C133" s="9"/>
      <c r="D133" s="9"/>
      <c r="E133" s="9"/>
      <c r="F133" s="9"/>
      <c r="G133" s="9"/>
      <c r="H133" s="9"/>
      <c r="I133" s="9"/>
      <c r="J133" s="13"/>
      <c r="K133" s="9"/>
      <c r="L133" s="10"/>
    </row>
    <row r="134" ht="15.75" customHeight="1">
      <c r="A134" s="4"/>
      <c r="B134" s="6"/>
      <c r="C134" s="9"/>
      <c r="D134" s="9"/>
      <c r="E134" s="9"/>
      <c r="F134" s="9"/>
      <c r="G134" s="9"/>
      <c r="H134" s="9"/>
      <c r="I134" s="9"/>
      <c r="J134" s="13"/>
      <c r="K134" s="9"/>
      <c r="L134" s="10"/>
    </row>
    <row r="135" ht="15.75" customHeight="1">
      <c r="A135" s="4"/>
      <c r="B135" s="6"/>
      <c r="C135" s="9"/>
      <c r="D135" s="9"/>
      <c r="E135" s="9"/>
      <c r="F135" s="9"/>
      <c r="G135" s="9"/>
      <c r="H135" s="9"/>
      <c r="I135" s="9"/>
      <c r="J135" s="13"/>
      <c r="K135" s="9"/>
      <c r="L135" s="10"/>
    </row>
    <row r="136" ht="15.75" customHeight="1">
      <c r="A136" s="4"/>
      <c r="B136" s="6"/>
      <c r="C136" s="9"/>
      <c r="D136" s="9"/>
      <c r="E136" s="9"/>
      <c r="F136" s="9"/>
      <c r="G136" s="9"/>
      <c r="H136" s="9"/>
      <c r="I136" s="9"/>
      <c r="J136" s="13"/>
      <c r="K136" s="9"/>
      <c r="L136" s="10"/>
    </row>
    <row r="137" ht="15.75" customHeight="1">
      <c r="A137" s="4"/>
      <c r="B137" s="6"/>
      <c r="C137" s="9"/>
      <c r="D137" s="9"/>
      <c r="E137" s="9"/>
      <c r="F137" s="9"/>
      <c r="G137" s="9"/>
      <c r="H137" s="9"/>
      <c r="I137" s="9"/>
      <c r="J137" s="13"/>
      <c r="K137" s="9"/>
      <c r="L137" s="10"/>
    </row>
    <row r="138" ht="15.75" customHeight="1">
      <c r="A138" s="4"/>
      <c r="B138" s="6"/>
      <c r="C138" s="9"/>
      <c r="D138" s="9"/>
      <c r="E138" s="9"/>
      <c r="F138" s="9"/>
      <c r="G138" s="9"/>
      <c r="H138" s="9"/>
      <c r="I138" s="9"/>
      <c r="J138" s="13"/>
      <c r="K138" s="9"/>
      <c r="L138" s="10"/>
    </row>
    <row r="139" ht="15.75" customHeight="1">
      <c r="A139" s="4"/>
      <c r="B139" s="6"/>
      <c r="C139" s="9"/>
      <c r="D139" s="9"/>
      <c r="E139" s="9"/>
      <c r="F139" s="9"/>
      <c r="G139" s="9"/>
      <c r="H139" s="9"/>
      <c r="I139" s="9"/>
      <c r="J139" s="13"/>
      <c r="K139" s="9"/>
      <c r="L139" s="10"/>
    </row>
    <row r="140" ht="15.75" customHeight="1">
      <c r="A140" s="4"/>
      <c r="B140" s="6"/>
      <c r="C140" s="9"/>
      <c r="D140" s="9"/>
      <c r="E140" s="9"/>
      <c r="F140" s="9"/>
      <c r="G140" s="9"/>
      <c r="H140" s="9"/>
      <c r="I140" s="9"/>
      <c r="J140" s="13"/>
      <c r="K140" s="9"/>
      <c r="L140" s="10"/>
    </row>
    <row r="141" ht="15.75" customHeight="1">
      <c r="A141" s="4"/>
      <c r="B141" s="6"/>
      <c r="C141" s="9"/>
      <c r="D141" s="9"/>
      <c r="E141" s="9"/>
      <c r="F141" s="9"/>
      <c r="G141" s="9"/>
      <c r="H141" s="9"/>
      <c r="I141" s="9"/>
      <c r="J141" s="13"/>
      <c r="K141" s="9"/>
      <c r="L141" s="10"/>
    </row>
    <row r="142" ht="15.75" customHeight="1">
      <c r="A142" s="4"/>
      <c r="B142" s="6"/>
      <c r="C142" s="9"/>
      <c r="D142" s="9"/>
      <c r="E142" s="9"/>
      <c r="F142" s="9"/>
      <c r="G142" s="9"/>
      <c r="H142" s="9"/>
      <c r="I142" s="9"/>
      <c r="J142" s="13"/>
      <c r="K142" s="9"/>
      <c r="L142" s="10"/>
    </row>
    <row r="143" ht="15.75" customHeight="1">
      <c r="A143" s="4"/>
      <c r="B143" s="6"/>
      <c r="C143" s="9"/>
      <c r="D143" s="9"/>
      <c r="E143" s="9"/>
      <c r="F143" s="9"/>
      <c r="G143" s="9"/>
      <c r="H143" s="9"/>
      <c r="I143" s="9"/>
      <c r="J143" s="13"/>
      <c r="K143" s="9"/>
      <c r="L143" s="10"/>
    </row>
    <row r="144" ht="15.75" customHeight="1">
      <c r="A144" s="4"/>
      <c r="B144" s="6"/>
      <c r="C144" s="9"/>
      <c r="D144" s="9"/>
      <c r="E144" s="9"/>
      <c r="F144" s="9"/>
      <c r="G144" s="9"/>
      <c r="H144" s="9"/>
      <c r="I144" s="9"/>
      <c r="J144" s="13"/>
      <c r="K144" s="9"/>
      <c r="L144" s="10"/>
    </row>
    <row r="145" ht="15.75" customHeight="1">
      <c r="A145" s="4"/>
      <c r="B145" s="6"/>
      <c r="C145" s="9"/>
      <c r="D145" s="9"/>
      <c r="E145" s="9"/>
      <c r="F145" s="9"/>
      <c r="G145" s="9"/>
      <c r="H145" s="9"/>
      <c r="I145" s="9"/>
      <c r="J145" s="13"/>
      <c r="K145" s="9"/>
      <c r="L145" s="10"/>
    </row>
    <row r="146" ht="15.75" customHeight="1">
      <c r="A146" s="4"/>
      <c r="B146" s="6"/>
      <c r="C146" s="9"/>
      <c r="D146" s="9"/>
      <c r="E146" s="9"/>
      <c r="F146" s="9"/>
      <c r="G146" s="9"/>
      <c r="H146" s="9"/>
      <c r="I146" s="9"/>
      <c r="J146" s="13"/>
      <c r="K146" s="9"/>
      <c r="L146" s="10"/>
    </row>
    <row r="147" ht="15.75" customHeight="1">
      <c r="A147" s="4"/>
      <c r="B147" s="6"/>
      <c r="C147" s="9"/>
      <c r="D147" s="9"/>
      <c r="E147" s="9"/>
      <c r="F147" s="9"/>
      <c r="G147" s="9"/>
      <c r="H147" s="9"/>
      <c r="I147" s="9"/>
      <c r="J147" s="13"/>
      <c r="K147" s="9"/>
      <c r="L147" s="10"/>
    </row>
    <row r="148" ht="15.75" customHeight="1">
      <c r="A148" s="4"/>
      <c r="B148" s="6"/>
      <c r="C148" s="9"/>
      <c r="D148" s="9"/>
      <c r="E148" s="9"/>
      <c r="F148" s="9"/>
      <c r="G148" s="9"/>
      <c r="H148" s="9"/>
      <c r="I148" s="9"/>
      <c r="J148" s="13"/>
      <c r="K148" s="9"/>
      <c r="L148" s="10"/>
    </row>
    <row r="149" ht="15.75" customHeight="1">
      <c r="A149" s="4"/>
      <c r="B149" s="6"/>
      <c r="C149" s="9"/>
      <c r="D149" s="9"/>
      <c r="E149" s="9"/>
      <c r="F149" s="9"/>
      <c r="G149" s="9"/>
      <c r="H149" s="9"/>
      <c r="I149" s="9"/>
      <c r="J149" s="13"/>
      <c r="K149" s="9"/>
      <c r="L149" s="10"/>
    </row>
    <row r="150" ht="15.75" customHeight="1">
      <c r="A150" s="4"/>
      <c r="B150" s="6"/>
      <c r="C150" s="9"/>
      <c r="D150" s="9"/>
      <c r="E150" s="9"/>
      <c r="F150" s="9"/>
      <c r="G150" s="9"/>
      <c r="H150" s="9"/>
      <c r="I150" s="9"/>
      <c r="J150" s="13"/>
      <c r="K150" s="9"/>
      <c r="L150" s="10"/>
    </row>
    <row r="151" ht="15.75" customHeight="1">
      <c r="A151" s="4"/>
      <c r="B151" s="6"/>
      <c r="C151" s="9"/>
      <c r="D151" s="9"/>
      <c r="E151" s="9"/>
      <c r="F151" s="9"/>
      <c r="G151" s="9"/>
      <c r="H151" s="9"/>
      <c r="I151" s="9"/>
      <c r="J151" s="13"/>
      <c r="K151" s="9"/>
      <c r="L151" s="10"/>
    </row>
    <row r="152" ht="15.75" customHeight="1">
      <c r="A152" s="4"/>
      <c r="B152" s="6"/>
      <c r="C152" s="9"/>
      <c r="D152" s="9"/>
      <c r="E152" s="9"/>
      <c r="F152" s="9"/>
      <c r="G152" s="9"/>
      <c r="H152" s="9"/>
      <c r="I152" s="9"/>
      <c r="J152" s="13"/>
      <c r="K152" s="9"/>
      <c r="L152" s="10"/>
    </row>
    <row r="153" ht="15.75" customHeight="1">
      <c r="A153" s="4"/>
      <c r="B153" s="6"/>
      <c r="C153" s="9"/>
      <c r="D153" s="9"/>
      <c r="E153" s="9"/>
      <c r="F153" s="9"/>
      <c r="G153" s="9"/>
      <c r="H153" s="9"/>
      <c r="I153" s="9"/>
      <c r="J153" s="13"/>
      <c r="K153" s="9"/>
      <c r="L153" s="10"/>
    </row>
    <row r="154" ht="15.75" customHeight="1">
      <c r="A154" s="4"/>
      <c r="B154" s="6"/>
      <c r="C154" s="9"/>
      <c r="D154" s="9"/>
      <c r="E154" s="9"/>
      <c r="F154" s="9"/>
      <c r="G154" s="9"/>
      <c r="H154" s="9"/>
      <c r="I154" s="9"/>
      <c r="J154" s="13"/>
      <c r="K154" s="9"/>
      <c r="L154" s="10"/>
    </row>
    <row r="155" ht="15.75" customHeight="1">
      <c r="A155" s="4"/>
      <c r="B155" s="6"/>
      <c r="C155" s="9"/>
      <c r="D155" s="9"/>
      <c r="E155" s="9"/>
      <c r="F155" s="9"/>
      <c r="G155" s="9"/>
      <c r="H155" s="9"/>
      <c r="I155" s="9"/>
      <c r="J155" s="13"/>
      <c r="K155" s="9"/>
      <c r="L155" s="10"/>
    </row>
    <row r="156" ht="15.75" customHeight="1">
      <c r="A156" s="4"/>
      <c r="B156" s="6"/>
      <c r="C156" s="9"/>
      <c r="D156" s="9"/>
      <c r="E156" s="9"/>
      <c r="F156" s="9"/>
      <c r="G156" s="9"/>
      <c r="H156" s="9"/>
      <c r="I156" s="9"/>
      <c r="J156" s="13"/>
      <c r="K156" s="9"/>
      <c r="L156" s="10"/>
    </row>
    <row r="157" ht="15.75" customHeight="1">
      <c r="A157" s="4"/>
      <c r="B157" s="6"/>
      <c r="C157" s="9"/>
      <c r="D157" s="9"/>
      <c r="E157" s="9"/>
      <c r="F157" s="9"/>
      <c r="G157" s="9"/>
      <c r="H157" s="9"/>
      <c r="I157" s="9"/>
      <c r="J157" s="13"/>
      <c r="K157" s="9"/>
      <c r="L157" s="10"/>
    </row>
    <row r="158" ht="15.75" customHeight="1">
      <c r="A158" s="4"/>
      <c r="B158" s="6"/>
      <c r="C158" s="9"/>
      <c r="D158" s="9"/>
      <c r="E158" s="9"/>
      <c r="F158" s="9"/>
      <c r="G158" s="9"/>
      <c r="H158" s="9"/>
      <c r="I158" s="9"/>
      <c r="J158" s="13"/>
      <c r="K158" s="9"/>
      <c r="L158" s="10"/>
    </row>
    <row r="159" ht="15.75" customHeight="1">
      <c r="A159" s="4"/>
      <c r="B159" s="6"/>
      <c r="C159" s="9"/>
      <c r="D159" s="9"/>
      <c r="E159" s="9"/>
      <c r="F159" s="9"/>
      <c r="G159" s="9"/>
      <c r="H159" s="9"/>
      <c r="I159" s="9"/>
      <c r="J159" s="13"/>
      <c r="K159" s="9"/>
      <c r="L159" s="10"/>
    </row>
    <row r="160" ht="15.75" customHeight="1">
      <c r="A160" s="4"/>
      <c r="B160" s="6"/>
      <c r="C160" s="9"/>
      <c r="D160" s="9"/>
      <c r="E160" s="9"/>
      <c r="F160" s="9"/>
      <c r="G160" s="9"/>
      <c r="H160" s="9"/>
      <c r="I160" s="9"/>
      <c r="J160" s="13"/>
      <c r="K160" s="9"/>
      <c r="L160" s="10"/>
    </row>
    <row r="161" ht="15.75" customHeight="1">
      <c r="A161" s="4"/>
      <c r="B161" s="6"/>
      <c r="C161" s="9"/>
      <c r="D161" s="9"/>
      <c r="E161" s="9"/>
      <c r="F161" s="9"/>
      <c r="G161" s="9"/>
      <c r="H161" s="9"/>
      <c r="I161" s="9"/>
      <c r="J161" s="13"/>
      <c r="K161" s="9"/>
      <c r="L161" s="10"/>
    </row>
    <row r="162" ht="15.75" customHeight="1">
      <c r="A162" s="4"/>
      <c r="B162" s="6"/>
      <c r="C162" s="9"/>
      <c r="D162" s="9"/>
      <c r="E162" s="9"/>
      <c r="F162" s="9"/>
      <c r="G162" s="9"/>
      <c r="H162" s="9"/>
      <c r="I162" s="9"/>
      <c r="J162" s="13"/>
      <c r="K162" s="9"/>
      <c r="L162" s="10"/>
    </row>
    <row r="163" ht="15.75" customHeight="1">
      <c r="A163" s="4"/>
      <c r="B163" s="6"/>
      <c r="C163" s="9"/>
      <c r="D163" s="9"/>
      <c r="E163" s="9"/>
      <c r="F163" s="9"/>
      <c r="G163" s="9"/>
      <c r="H163" s="9"/>
      <c r="I163" s="9"/>
      <c r="J163" s="13"/>
      <c r="K163" s="9"/>
      <c r="L163" s="10"/>
    </row>
    <row r="164" ht="15.75" customHeight="1">
      <c r="A164" s="4"/>
      <c r="B164" s="6"/>
      <c r="C164" s="9"/>
      <c r="D164" s="9"/>
      <c r="E164" s="9"/>
      <c r="F164" s="9"/>
      <c r="G164" s="9"/>
      <c r="H164" s="9"/>
      <c r="I164" s="9"/>
      <c r="J164" s="13"/>
      <c r="K164" s="9"/>
      <c r="L164" s="10"/>
    </row>
    <row r="165" ht="15.75" customHeight="1">
      <c r="A165" s="4"/>
      <c r="B165" s="6"/>
      <c r="C165" s="9"/>
      <c r="D165" s="9"/>
      <c r="E165" s="9"/>
      <c r="F165" s="9"/>
      <c r="G165" s="9"/>
      <c r="H165" s="9"/>
      <c r="I165" s="9"/>
      <c r="J165" s="13"/>
      <c r="K165" s="9"/>
      <c r="L165" s="10"/>
    </row>
    <row r="166" ht="15.75" customHeight="1">
      <c r="A166" s="4"/>
      <c r="B166" s="6"/>
      <c r="C166" s="9"/>
      <c r="D166" s="9"/>
      <c r="E166" s="9"/>
      <c r="F166" s="9"/>
      <c r="G166" s="9"/>
      <c r="H166" s="9"/>
      <c r="I166" s="9"/>
      <c r="J166" s="13"/>
      <c r="K166" s="9"/>
      <c r="L166" s="10"/>
    </row>
    <row r="167" ht="15.75" customHeight="1">
      <c r="A167" s="4"/>
      <c r="B167" s="6"/>
      <c r="C167" s="9"/>
      <c r="D167" s="9"/>
      <c r="E167" s="9"/>
      <c r="F167" s="9"/>
      <c r="G167" s="9"/>
      <c r="H167" s="9"/>
      <c r="I167" s="9"/>
      <c r="J167" s="13"/>
      <c r="K167" s="9"/>
      <c r="L167" s="10"/>
    </row>
    <row r="168" ht="15.75" customHeight="1">
      <c r="A168" s="4"/>
      <c r="B168" s="6"/>
      <c r="C168" s="9"/>
      <c r="D168" s="9"/>
      <c r="E168" s="9"/>
      <c r="F168" s="9"/>
      <c r="G168" s="9"/>
      <c r="H168" s="9"/>
      <c r="I168" s="9"/>
      <c r="J168" s="13"/>
      <c r="K168" s="9"/>
      <c r="L168" s="10"/>
    </row>
    <row r="169" ht="15.75" customHeight="1">
      <c r="A169" s="4"/>
      <c r="B169" s="6"/>
      <c r="C169" s="9"/>
      <c r="D169" s="9"/>
      <c r="E169" s="9"/>
      <c r="F169" s="9"/>
      <c r="G169" s="9"/>
      <c r="H169" s="9"/>
      <c r="I169" s="9"/>
      <c r="J169" s="13"/>
      <c r="K169" s="9"/>
      <c r="L169" s="10"/>
    </row>
    <row r="170" ht="15.75" customHeight="1">
      <c r="A170" s="4"/>
      <c r="B170" s="6"/>
      <c r="C170" s="9"/>
      <c r="D170" s="9"/>
      <c r="E170" s="9"/>
      <c r="F170" s="9"/>
      <c r="G170" s="9"/>
      <c r="H170" s="9"/>
      <c r="I170" s="9"/>
      <c r="J170" s="13"/>
      <c r="K170" s="9"/>
      <c r="L170" s="10"/>
    </row>
    <row r="171" ht="15.75" customHeight="1">
      <c r="A171" s="4"/>
      <c r="B171" s="6"/>
      <c r="C171" s="9"/>
      <c r="D171" s="9"/>
      <c r="E171" s="9"/>
      <c r="F171" s="9"/>
      <c r="G171" s="9"/>
      <c r="H171" s="9"/>
      <c r="I171" s="9"/>
      <c r="J171" s="13"/>
      <c r="K171" s="9"/>
      <c r="L171" s="10"/>
    </row>
    <row r="172" ht="15.75" customHeight="1">
      <c r="A172" s="4"/>
      <c r="B172" s="6"/>
      <c r="C172" s="9"/>
      <c r="D172" s="9"/>
      <c r="E172" s="9"/>
      <c r="F172" s="9"/>
      <c r="G172" s="9"/>
      <c r="H172" s="9"/>
      <c r="I172" s="9"/>
      <c r="J172" s="13"/>
      <c r="K172" s="9"/>
      <c r="L172" s="10"/>
    </row>
    <row r="173" ht="15.75" customHeight="1">
      <c r="A173" s="4"/>
      <c r="B173" s="6"/>
      <c r="C173" s="9"/>
      <c r="D173" s="9"/>
      <c r="E173" s="9"/>
      <c r="F173" s="9"/>
      <c r="G173" s="9"/>
      <c r="H173" s="9"/>
      <c r="I173" s="9"/>
      <c r="J173" s="13"/>
      <c r="K173" s="9"/>
      <c r="L173" s="10"/>
    </row>
    <row r="174" ht="15.75" customHeight="1">
      <c r="A174" s="4"/>
      <c r="B174" s="6"/>
      <c r="C174" s="9"/>
      <c r="D174" s="9"/>
      <c r="E174" s="9"/>
      <c r="F174" s="9"/>
      <c r="G174" s="9"/>
      <c r="H174" s="9"/>
      <c r="I174" s="9"/>
      <c r="J174" s="13"/>
      <c r="K174" s="9"/>
      <c r="L174" s="10"/>
    </row>
    <row r="175" ht="15.75" customHeight="1">
      <c r="A175" s="4"/>
      <c r="B175" s="6"/>
      <c r="C175" s="9"/>
      <c r="D175" s="9"/>
      <c r="E175" s="9"/>
      <c r="F175" s="9"/>
      <c r="G175" s="9"/>
      <c r="H175" s="9"/>
      <c r="I175" s="9"/>
      <c r="J175" s="13"/>
      <c r="K175" s="9"/>
      <c r="L175" s="10"/>
    </row>
    <row r="176" ht="15.75" customHeight="1">
      <c r="A176" s="4"/>
      <c r="B176" s="6"/>
      <c r="C176" s="9"/>
      <c r="D176" s="9"/>
      <c r="E176" s="9"/>
      <c r="F176" s="9"/>
      <c r="G176" s="9"/>
      <c r="H176" s="9"/>
      <c r="I176" s="9"/>
      <c r="J176" s="13"/>
      <c r="K176" s="9"/>
      <c r="L176" s="10"/>
    </row>
    <row r="177" ht="15.75" customHeight="1">
      <c r="A177" s="4"/>
      <c r="B177" s="6"/>
      <c r="C177" s="9"/>
      <c r="D177" s="9"/>
      <c r="E177" s="9"/>
      <c r="F177" s="9"/>
      <c r="G177" s="9"/>
      <c r="H177" s="9"/>
      <c r="I177" s="9"/>
      <c r="J177" s="13"/>
      <c r="K177" s="9"/>
      <c r="L177" s="10"/>
    </row>
    <row r="178" ht="15.75" customHeight="1">
      <c r="A178" s="4"/>
      <c r="B178" s="6"/>
      <c r="C178" s="9"/>
      <c r="D178" s="9"/>
      <c r="E178" s="9"/>
      <c r="F178" s="9"/>
      <c r="G178" s="9"/>
      <c r="H178" s="9"/>
      <c r="I178" s="9"/>
      <c r="J178" s="13"/>
      <c r="K178" s="9"/>
      <c r="L178" s="10"/>
    </row>
    <row r="179" ht="15.75" customHeight="1">
      <c r="A179" s="4"/>
      <c r="B179" s="6"/>
      <c r="C179" s="9"/>
      <c r="D179" s="9"/>
      <c r="E179" s="9"/>
      <c r="F179" s="9"/>
      <c r="G179" s="9"/>
      <c r="H179" s="9"/>
      <c r="I179" s="9"/>
      <c r="J179" s="13"/>
      <c r="K179" s="9"/>
      <c r="L179" s="10"/>
    </row>
    <row r="180" ht="15.75" customHeight="1">
      <c r="A180" s="4"/>
      <c r="B180" s="6"/>
      <c r="C180" s="9"/>
      <c r="D180" s="9"/>
      <c r="E180" s="9"/>
      <c r="F180" s="9"/>
      <c r="G180" s="9"/>
      <c r="H180" s="9"/>
      <c r="I180" s="9"/>
      <c r="J180" s="13"/>
      <c r="K180" s="9"/>
      <c r="L180" s="10"/>
    </row>
    <row r="181" ht="15.75" customHeight="1">
      <c r="A181" s="4"/>
      <c r="B181" s="6"/>
      <c r="C181" s="9"/>
      <c r="D181" s="9"/>
      <c r="E181" s="9"/>
      <c r="F181" s="9"/>
      <c r="G181" s="9"/>
      <c r="H181" s="9"/>
      <c r="I181" s="9"/>
      <c r="J181" s="13"/>
      <c r="K181" s="9"/>
      <c r="L181" s="10"/>
    </row>
    <row r="182" ht="15.75" customHeight="1">
      <c r="A182" s="4"/>
      <c r="B182" s="6"/>
      <c r="C182" s="9"/>
      <c r="D182" s="9"/>
      <c r="E182" s="9"/>
      <c r="F182" s="9"/>
      <c r="G182" s="9"/>
      <c r="H182" s="9"/>
      <c r="I182" s="9"/>
      <c r="J182" s="13"/>
      <c r="K182" s="9"/>
      <c r="L182" s="10"/>
    </row>
    <row r="183" ht="15.75" customHeight="1">
      <c r="A183" s="4"/>
      <c r="B183" s="6"/>
      <c r="C183" s="9"/>
      <c r="D183" s="9"/>
      <c r="E183" s="9"/>
      <c r="F183" s="9"/>
      <c r="G183" s="9"/>
      <c r="H183" s="9"/>
      <c r="I183" s="9"/>
      <c r="J183" s="13"/>
      <c r="K183" s="9"/>
      <c r="L183" s="10"/>
    </row>
    <row r="184" ht="15.75" customHeight="1">
      <c r="A184" s="4"/>
      <c r="B184" s="6"/>
      <c r="C184" s="9"/>
      <c r="D184" s="9"/>
      <c r="E184" s="9"/>
      <c r="F184" s="9"/>
      <c r="G184" s="9"/>
      <c r="H184" s="9"/>
      <c r="I184" s="9"/>
      <c r="J184" s="13"/>
      <c r="K184" s="9"/>
      <c r="L184" s="10"/>
    </row>
    <row r="185" ht="15.75" customHeight="1">
      <c r="A185" s="4"/>
      <c r="B185" s="6"/>
      <c r="C185" s="9"/>
      <c r="D185" s="9"/>
      <c r="E185" s="9"/>
      <c r="F185" s="9"/>
      <c r="G185" s="9"/>
      <c r="H185" s="9"/>
      <c r="I185" s="9"/>
      <c r="J185" s="13"/>
      <c r="K185" s="9"/>
      <c r="L185" s="10"/>
    </row>
    <row r="186" ht="15.75" customHeight="1">
      <c r="A186" s="4"/>
      <c r="B186" s="6"/>
      <c r="C186" s="9"/>
      <c r="D186" s="9"/>
      <c r="E186" s="9"/>
      <c r="F186" s="9"/>
      <c r="G186" s="9"/>
      <c r="H186" s="9"/>
      <c r="I186" s="9"/>
      <c r="J186" s="13"/>
      <c r="K186" s="9"/>
      <c r="L186" s="10"/>
    </row>
    <row r="187" ht="15.75" customHeight="1">
      <c r="A187" s="4"/>
      <c r="B187" s="6"/>
      <c r="C187" s="9"/>
      <c r="D187" s="9"/>
      <c r="E187" s="9"/>
      <c r="F187" s="9"/>
      <c r="G187" s="9"/>
      <c r="H187" s="9"/>
      <c r="I187" s="9"/>
      <c r="J187" s="13"/>
      <c r="K187" s="9"/>
      <c r="L187" s="10"/>
    </row>
    <row r="188" ht="15.75" customHeight="1">
      <c r="A188" s="4"/>
      <c r="B188" s="6"/>
      <c r="C188" s="9"/>
      <c r="D188" s="9"/>
      <c r="E188" s="9"/>
      <c r="F188" s="9"/>
      <c r="G188" s="9"/>
      <c r="H188" s="9"/>
      <c r="I188" s="9"/>
      <c r="J188" s="13"/>
      <c r="K188" s="9"/>
      <c r="L188" s="10"/>
    </row>
    <row r="189" ht="15.75" customHeight="1">
      <c r="A189" s="4"/>
      <c r="B189" s="6"/>
      <c r="C189" s="9"/>
      <c r="D189" s="9"/>
      <c r="E189" s="9"/>
      <c r="F189" s="9"/>
      <c r="G189" s="9"/>
      <c r="H189" s="9"/>
      <c r="I189" s="9"/>
      <c r="J189" s="13"/>
      <c r="K189" s="9"/>
      <c r="L189" s="10"/>
    </row>
    <row r="190" ht="15.75" customHeight="1">
      <c r="A190" s="4"/>
      <c r="B190" s="6"/>
      <c r="C190" s="9"/>
      <c r="D190" s="9"/>
      <c r="E190" s="9"/>
      <c r="F190" s="9"/>
      <c r="G190" s="9"/>
      <c r="H190" s="9"/>
      <c r="I190" s="9"/>
      <c r="J190" s="13"/>
      <c r="K190" s="9"/>
      <c r="L190" s="10"/>
    </row>
    <row r="191" ht="15.75" customHeight="1">
      <c r="A191" s="4"/>
      <c r="B191" s="6"/>
      <c r="C191" s="9"/>
      <c r="D191" s="9"/>
      <c r="E191" s="9"/>
      <c r="F191" s="9"/>
      <c r="G191" s="9"/>
      <c r="H191" s="9"/>
      <c r="I191" s="9"/>
      <c r="J191" s="13"/>
      <c r="K191" s="9"/>
      <c r="L191" s="10"/>
    </row>
    <row r="192" ht="15.75" customHeight="1">
      <c r="A192" s="4"/>
      <c r="B192" s="6"/>
      <c r="C192" s="9"/>
      <c r="D192" s="9"/>
      <c r="E192" s="9"/>
      <c r="F192" s="9"/>
      <c r="G192" s="9"/>
      <c r="H192" s="9"/>
      <c r="I192" s="9"/>
      <c r="J192" s="13"/>
      <c r="K192" s="9"/>
      <c r="L192" s="10"/>
    </row>
    <row r="193" ht="15.75" customHeight="1">
      <c r="A193" s="4"/>
      <c r="B193" s="6"/>
      <c r="C193" s="9"/>
      <c r="D193" s="9"/>
      <c r="E193" s="9"/>
      <c r="F193" s="9"/>
      <c r="G193" s="9"/>
      <c r="H193" s="9"/>
      <c r="I193" s="9"/>
      <c r="J193" s="13"/>
      <c r="K193" s="9"/>
      <c r="L193" s="10"/>
    </row>
    <row r="194" ht="15.75" customHeight="1">
      <c r="A194" s="4"/>
      <c r="B194" s="6"/>
      <c r="C194" s="9"/>
      <c r="D194" s="9"/>
      <c r="E194" s="9"/>
      <c r="F194" s="9"/>
      <c r="G194" s="9"/>
      <c r="H194" s="9"/>
      <c r="I194" s="9"/>
      <c r="J194" s="13"/>
      <c r="K194" s="9"/>
      <c r="L194" s="10"/>
    </row>
    <row r="195" ht="15.75" customHeight="1">
      <c r="A195" s="4"/>
      <c r="B195" s="6"/>
      <c r="C195" s="9"/>
      <c r="D195" s="9"/>
      <c r="E195" s="9"/>
      <c r="F195" s="9"/>
      <c r="G195" s="9"/>
      <c r="H195" s="9"/>
      <c r="I195" s="9"/>
      <c r="J195" s="13"/>
      <c r="K195" s="9"/>
      <c r="L195" s="10"/>
    </row>
    <row r="196" ht="15.75" customHeight="1">
      <c r="A196" s="4"/>
      <c r="B196" s="6"/>
      <c r="C196" s="9"/>
      <c r="D196" s="9"/>
      <c r="E196" s="9"/>
      <c r="F196" s="9"/>
      <c r="G196" s="9"/>
      <c r="H196" s="9"/>
      <c r="I196" s="9"/>
      <c r="J196" s="13"/>
      <c r="K196" s="9"/>
      <c r="L196" s="10"/>
    </row>
    <row r="197" ht="15.75" customHeight="1">
      <c r="A197" s="4"/>
      <c r="B197" s="6"/>
      <c r="C197" s="9"/>
      <c r="D197" s="9"/>
      <c r="E197" s="9"/>
      <c r="F197" s="9"/>
      <c r="G197" s="9"/>
      <c r="H197" s="9"/>
      <c r="I197" s="9"/>
      <c r="J197" s="13"/>
      <c r="K197" s="9"/>
      <c r="L197" s="10"/>
    </row>
    <row r="198" ht="15.75" customHeight="1">
      <c r="A198" s="4"/>
      <c r="B198" s="6"/>
      <c r="C198" s="9"/>
      <c r="D198" s="9"/>
      <c r="E198" s="9"/>
      <c r="F198" s="9"/>
      <c r="G198" s="9"/>
      <c r="H198" s="9"/>
      <c r="I198" s="9"/>
      <c r="J198" s="13"/>
      <c r="K198" s="9"/>
      <c r="L198" s="10"/>
    </row>
    <row r="199" ht="15.75" customHeight="1">
      <c r="A199" s="4"/>
      <c r="B199" s="6"/>
      <c r="C199" s="9"/>
      <c r="D199" s="9"/>
      <c r="E199" s="9"/>
      <c r="F199" s="9"/>
      <c r="G199" s="9"/>
      <c r="H199" s="9"/>
      <c r="I199" s="9"/>
      <c r="J199" s="13"/>
      <c r="K199" s="9"/>
      <c r="L199" s="10"/>
    </row>
    <row r="200" ht="15.75" customHeight="1">
      <c r="A200" s="4"/>
      <c r="B200" s="6"/>
      <c r="C200" s="9"/>
      <c r="D200" s="9"/>
      <c r="E200" s="9"/>
      <c r="F200" s="9"/>
      <c r="G200" s="9"/>
      <c r="H200" s="9"/>
      <c r="I200" s="9"/>
      <c r="J200" s="13"/>
      <c r="K200" s="9"/>
      <c r="L200" s="10"/>
    </row>
    <row r="201" ht="15.75" customHeight="1">
      <c r="A201" s="4"/>
      <c r="B201" s="6"/>
      <c r="C201" s="9"/>
      <c r="D201" s="9"/>
      <c r="E201" s="9"/>
      <c r="F201" s="9"/>
      <c r="G201" s="9"/>
      <c r="H201" s="9"/>
      <c r="I201" s="9"/>
      <c r="J201" s="13"/>
      <c r="K201" s="9"/>
      <c r="L201" s="10"/>
    </row>
    <row r="202" ht="15.75" customHeight="1">
      <c r="A202" s="4"/>
      <c r="B202" s="6"/>
      <c r="C202" s="9"/>
      <c r="D202" s="9"/>
      <c r="E202" s="9"/>
      <c r="F202" s="9"/>
      <c r="G202" s="9"/>
      <c r="H202" s="9"/>
      <c r="I202" s="9"/>
      <c r="J202" s="13"/>
      <c r="K202" s="9"/>
      <c r="L202" s="10"/>
    </row>
    <row r="203" ht="15.75" customHeight="1">
      <c r="A203" s="4"/>
      <c r="B203" s="6"/>
      <c r="C203" s="9"/>
      <c r="D203" s="9"/>
      <c r="E203" s="9"/>
      <c r="F203" s="9"/>
      <c r="G203" s="9"/>
      <c r="H203" s="9"/>
      <c r="I203" s="9"/>
      <c r="J203" s="13"/>
      <c r="K203" s="9"/>
      <c r="L203" s="10"/>
    </row>
    <row r="204" ht="15.75" customHeight="1">
      <c r="A204" s="4"/>
      <c r="B204" s="6"/>
      <c r="C204" s="9"/>
      <c r="D204" s="9"/>
      <c r="E204" s="9"/>
      <c r="F204" s="9"/>
      <c r="G204" s="9"/>
      <c r="H204" s="9"/>
      <c r="I204" s="9"/>
      <c r="J204" s="13"/>
      <c r="K204" s="9"/>
      <c r="L204" s="10"/>
    </row>
    <row r="205" ht="15.75" customHeight="1">
      <c r="A205" s="4"/>
      <c r="B205" s="6"/>
      <c r="C205" s="9"/>
      <c r="D205" s="9"/>
      <c r="E205" s="9"/>
      <c r="F205" s="9"/>
      <c r="G205" s="9"/>
      <c r="H205" s="9"/>
      <c r="I205" s="9"/>
      <c r="J205" s="13"/>
      <c r="K205" s="9"/>
      <c r="L205" s="10"/>
    </row>
    <row r="206" ht="15.75" customHeight="1">
      <c r="A206" s="4"/>
      <c r="B206" s="6"/>
      <c r="C206" s="9"/>
      <c r="D206" s="9"/>
      <c r="E206" s="9"/>
      <c r="F206" s="9"/>
      <c r="G206" s="9"/>
      <c r="H206" s="9"/>
      <c r="I206" s="9"/>
      <c r="J206" s="13"/>
      <c r="K206" s="9"/>
      <c r="L206" s="10"/>
    </row>
    <row r="207" ht="15.75" customHeight="1">
      <c r="A207" s="4"/>
      <c r="B207" s="6"/>
      <c r="C207" s="9"/>
      <c r="D207" s="9"/>
      <c r="E207" s="9"/>
      <c r="F207" s="9"/>
      <c r="G207" s="9"/>
      <c r="H207" s="9"/>
      <c r="I207" s="9"/>
      <c r="J207" s="13"/>
      <c r="K207" s="9"/>
      <c r="L207" s="10"/>
    </row>
    <row r="208" ht="15.75" customHeight="1">
      <c r="A208" s="4"/>
      <c r="B208" s="6"/>
      <c r="C208" s="9"/>
      <c r="D208" s="9"/>
      <c r="E208" s="9"/>
      <c r="F208" s="9"/>
      <c r="G208" s="9"/>
      <c r="H208" s="9"/>
      <c r="I208" s="9"/>
      <c r="J208" s="13"/>
      <c r="K208" s="9"/>
      <c r="L208" s="10"/>
    </row>
    <row r="209" ht="15.75" customHeight="1">
      <c r="A209" s="4"/>
      <c r="B209" s="6"/>
      <c r="C209" s="9"/>
      <c r="D209" s="9"/>
      <c r="E209" s="9"/>
      <c r="F209" s="9"/>
      <c r="G209" s="9"/>
      <c r="H209" s="9"/>
      <c r="I209" s="9"/>
      <c r="J209" s="13"/>
      <c r="K209" s="9"/>
      <c r="L209" s="10"/>
    </row>
    <row r="210" ht="15.75" customHeight="1">
      <c r="A210" s="4"/>
      <c r="B210" s="6"/>
      <c r="C210" s="9"/>
      <c r="D210" s="9"/>
      <c r="E210" s="9"/>
      <c r="F210" s="9"/>
      <c r="G210" s="9"/>
      <c r="H210" s="9"/>
      <c r="I210" s="9"/>
      <c r="J210" s="13"/>
      <c r="K210" s="9"/>
      <c r="L210" s="10"/>
    </row>
    <row r="211" ht="15.75" customHeight="1">
      <c r="A211" s="4"/>
      <c r="B211" s="6"/>
      <c r="C211" s="9"/>
      <c r="D211" s="9"/>
      <c r="E211" s="9"/>
      <c r="F211" s="9"/>
      <c r="G211" s="9"/>
      <c r="H211" s="9"/>
      <c r="I211" s="9"/>
      <c r="J211" s="13"/>
      <c r="K211" s="9"/>
      <c r="L211" s="10"/>
    </row>
    <row r="212" ht="15.75" customHeight="1">
      <c r="A212" s="4"/>
      <c r="B212" s="6"/>
      <c r="C212" s="9"/>
      <c r="D212" s="9"/>
      <c r="E212" s="9"/>
      <c r="F212" s="9"/>
      <c r="G212" s="9"/>
      <c r="H212" s="9"/>
      <c r="I212" s="9"/>
      <c r="J212" s="13"/>
      <c r="K212" s="9"/>
      <c r="L212" s="10"/>
    </row>
    <row r="213" ht="15.75" customHeight="1">
      <c r="A213" s="4"/>
      <c r="B213" s="6"/>
      <c r="C213" s="9"/>
      <c r="D213" s="9"/>
      <c r="E213" s="9"/>
      <c r="F213" s="9"/>
      <c r="G213" s="9"/>
      <c r="H213" s="9"/>
      <c r="I213" s="9"/>
      <c r="J213" s="13"/>
      <c r="K213" s="9"/>
      <c r="L213" s="10"/>
    </row>
    <row r="214" ht="15.75" customHeight="1">
      <c r="A214" s="4"/>
      <c r="B214" s="6"/>
      <c r="C214" s="9"/>
      <c r="D214" s="9"/>
      <c r="E214" s="9"/>
      <c r="F214" s="9"/>
      <c r="G214" s="9"/>
      <c r="H214" s="9"/>
      <c r="I214" s="9"/>
      <c r="J214" s="13"/>
      <c r="K214" s="9"/>
      <c r="L214" s="10"/>
    </row>
    <row r="215" ht="15.75" customHeight="1">
      <c r="A215" s="4"/>
      <c r="B215" s="6"/>
      <c r="C215" s="9"/>
      <c r="D215" s="9"/>
      <c r="E215" s="9"/>
      <c r="F215" s="9"/>
      <c r="G215" s="9"/>
      <c r="H215" s="9"/>
      <c r="I215" s="9"/>
      <c r="J215" s="13"/>
      <c r="K215" s="9"/>
      <c r="L215" s="10"/>
    </row>
    <row r="216" ht="15.75" customHeight="1">
      <c r="A216" s="4"/>
      <c r="B216" s="6"/>
      <c r="C216" s="9"/>
      <c r="D216" s="9"/>
      <c r="E216" s="9"/>
      <c r="F216" s="9"/>
      <c r="G216" s="9"/>
      <c r="H216" s="9"/>
      <c r="I216" s="9"/>
      <c r="J216" s="13"/>
      <c r="K216" s="9"/>
      <c r="L216" s="10"/>
    </row>
    <row r="217" ht="15.75" customHeight="1">
      <c r="A217" s="4"/>
      <c r="B217" s="6"/>
      <c r="C217" s="9"/>
      <c r="D217" s="9"/>
      <c r="E217" s="9"/>
      <c r="F217" s="9"/>
      <c r="G217" s="9"/>
      <c r="H217" s="9"/>
      <c r="I217" s="9"/>
      <c r="J217" s="13"/>
      <c r="K217" s="9"/>
      <c r="L217" s="10"/>
    </row>
    <row r="218" ht="15.75" customHeight="1">
      <c r="A218" s="4"/>
      <c r="B218" s="6"/>
      <c r="C218" s="9"/>
      <c r="D218" s="9"/>
      <c r="E218" s="9"/>
      <c r="F218" s="9"/>
      <c r="G218" s="9"/>
      <c r="H218" s="9"/>
      <c r="I218" s="9"/>
      <c r="J218" s="13"/>
      <c r="K218" s="9"/>
      <c r="L218" s="10"/>
    </row>
    <row r="219" ht="15.75" customHeight="1">
      <c r="A219" s="4"/>
      <c r="B219" s="6"/>
      <c r="C219" s="9"/>
      <c r="D219" s="9"/>
      <c r="E219" s="9"/>
      <c r="F219" s="9"/>
      <c r="G219" s="9"/>
      <c r="H219" s="9"/>
      <c r="I219" s="9"/>
      <c r="J219" s="13"/>
      <c r="K219" s="9"/>
      <c r="L219" s="10"/>
    </row>
    <row r="220" ht="15.75" customHeight="1">
      <c r="A220" s="4"/>
      <c r="B220" s="6"/>
      <c r="C220" s="9"/>
      <c r="D220" s="9"/>
      <c r="E220" s="9"/>
      <c r="F220" s="9"/>
      <c r="G220" s="9"/>
      <c r="H220" s="9"/>
      <c r="I220" s="9"/>
      <c r="J220" s="13"/>
      <c r="K220" s="9"/>
      <c r="L220" s="10"/>
    </row>
    <row r="221" ht="15.75" customHeight="1">
      <c r="A221" s="4"/>
      <c r="B221" s="6"/>
      <c r="C221" s="9"/>
      <c r="D221" s="9"/>
      <c r="E221" s="9"/>
      <c r="F221" s="9"/>
      <c r="G221" s="9"/>
      <c r="H221" s="9"/>
      <c r="I221" s="9"/>
      <c r="J221" s="13"/>
      <c r="K221" s="9"/>
      <c r="L221" s="10"/>
    </row>
    <row r="222" ht="15.75" customHeight="1">
      <c r="A222" s="4"/>
      <c r="B222" s="6"/>
      <c r="C222" s="9"/>
      <c r="D222" s="9"/>
      <c r="E222" s="9"/>
      <c r="F222" s="9"/>
      <c r="G222" s="9"/>
      <c r="H222" s="9"/>
      <c r="I222" s="9"/>
      <c r="J222" s="13"/>
      <c r="K222" s="9"/>
      <c r="L222" s="10"/>
    </row>
    <row r="223" ht="15.75" customHeight="1">
      <c r="A223" s="4"/>
      <c r="B223" s="6"/>
      <c r="C223" s="9"/>
      <c r="D223" s="9"/>
      <c r="E223" s="9"/>
      <c r="F223" s="9"/>
      <c r="G223" s="9"/>
      <c r="H223" s="9"/>
      <c r="I223" s="9"/>
      <c r="J223" s="13"/>
      <c r="K223" s="9"/>
      <c r="L223" s="10"/>
    </row>
    <row r="224" ht="15.75" customHeight="1">
      <c r="A224" s="4"/>
      <c r="B224" s="6"/>
      <c r="C224" s="9"/>
      <c r="D224" s="9"/>
      <c r="E224" s="9"/>
      <c r="F224" s="9"/>
      <c r="G224" s="9"/>
      <c r="H224" s="9"/>
      <c r="I224" s="9"/>
      <c r="J224" s="13"/>
      <c r="K224" s="9"/>
      <c r="L224" s="10"/>
    </row>
    <row r="225" ht="15.75" customHeight="1">
      <c r="A225" s="4"/>
      <c r="B225" s="6"/>
      <c r="C225" s="9"/>
      <c r="D225" s="9"/>
      <c r="E225" s="9"/>
      <c r="F225" s="9"/>
      <c r="G225" s="9"/>
      <c r="H225" s="9"/>
      <c r="I225" s="9"/>
      <c r="J225" s="13"/>
      <c r="K225" s="9"/>
      <c r="L225" s="10"/>
    </row>
    <row r="226" ht="15.75" customHeight="1">
      <c r="A226" s="4"/>
      <c r="B226" s="6"/>
      <c r="C226" s="9"/>
      <c r="D226" s="9"/>
      <c r="E226" s="9"/>
      <c r="F226" s="9"/>
      <c r="G226" s="9"/>
      <c r="H226" s="9"/>
      <c r="I226" s="9"/>
      <c r="J226" s="13"/>
      <c r="K226" s="9"/>
      <c r="L226" s="10"/>
    </row>
    <row r="227" ht="15.75" customHeight="1">
      <c r="A227" s="4"/>
      <c r="B227" s="6"/>
      <c r="C227" s="9"/>
      <c r="D227" s="9"/>
      <c r="E227" s="9"/>
      <c r="F227" s="9"/>
      <c r="G227" s="9"/>
      <c r="H227" s="9"/>
      <c r="I227" s="9"/>
      <c r="J227" s="13"/>
      <c r="K227" s="9"/>
      <c r="L227" s="10"/>
    </row>
    <row r="228" ht="15.75" customHeight="1">
      <c r="A228" s="4"/>
      <c r="B228" s="6"/>
      <c r="C228" s="9"/>
      <c r="D228" s="9"/>
      <c r="E228" s="9"/>
      <c r="F228" s="9"/>
      <c r="G228" s="9"/>
      <c r="H228" s="9"/>
      <c r="I228" s="9"/>
      <c r="J228" s="13"/>
      <c r="K228" s="9"/>
      <c r="L228" s="10"/>
    </row>
    <row r="229" ht="15.75" customHeight="1">
      <c r="A229" s="4"/>
      <c r="B229" s="6"/>
      <c r="C229" s="9"/>
      <c r="D229" s="9"/>
      <c r="E229" s="9"/>
      <c r="F229" s="9"/>
      <c r="G229" s="9"/>
      <c r="H229" s="9"/>
      <c r="I229" s="9"/>
      <c r="J229" s="13"/>
      <c r="K229" s="9"/>
      <c r="L229" s="10"/>
    </row>
    <row r="230" ht="15.75" customHeight="1">
      <c r="A230" s="4"/>
      <c r="B230" s="6"/>
      <c r="C230" s="9"/>
      <c r="D230" s="9"/>
      <c r="E230" s="9"/>
      <c r="F230" s="9"/>
      <c r="G230" s="9"/>
      <c r="H230" s="9"/>
      <c r="I230" s="9"/>
      <c r="J230" s="13"/>
      <c r="K230" s="9"/>
      <c r="L230" s="10"/>
    </row>
    <row r="231" ht="15.75" customHeight="1">
      <c r="A231" s="4"/>
      <c r="B231" s="6"/>
      <c r="C231" s="9"/>
      <c r="D231" s="9"/>
      <c r="E231" s="9"/>
      <c r="F231" s="9"/>
      <c r="G231" s="9"/>
      <c r="H231" s="9"/>
      <c r="I231" s="9"/>
      <c r="J231" s="13"/>
      <c r="K231" s="9"/>
      <c r="L231" s="10"/>
    </row>
    <row r="232" ht="15.75" customHeight="1">
      <c r="A232" s="4"/>
      <c r="B232" s="6"/>
      <c r="C232" s="9"/>
      <c r="D232" s="9"/>
      <c r="E232" s="9"/>
      <c r="F232" s="9"/>
      <c r="G232" s="9"/>
      <c r="H232" s="9"/>
      <c r="I232" s="9"/>
      <c r="J232" s="13"/>
      <c r="K232" s="9"/>
      <c r="L232" s="10"/>
    </row>
    <row r="233" ht="15.75" customHeight="1">
      <c r="A233" s="4"/>
      <c r="B233" s="6"/>
      <c r="C233" s="9"/>
      <c r="D233" s="9"/>
      <c r="E233" s="9"/>
      <c r="F233" s="9"/>
      <c r="G233" s="9"/>
      <c r="H233" s="9"/>
      <c r="I233" s="9"/>
      <c r="J233" s="13"/>
      <c r="K233" s="9"/>
      <c r="L233" s="1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12.63"/>
    <col customWidth="1" min="3" max="3" width="37.88"/>
    <col customWidth="1" min="4" max="4" width="15.0"/>
    <col customWidth="1" min="5" max="6" width="12.63"/>
    <col customWidth="1" min="11" max="11" width="40.63"/>
  </cols>
  <sheetData>
    <row r="1" ht="15.75" customHeight="1">
      <c r="A1" s="1"/>
      <c r="B1" s="2"/>
      <c r="C1" s="1"/>
      <c r="D1" s="1" t="s">
        <v>6</v>
      </c>
      <c r="E1" s="2" t="s">
        <v>9</v>
      </c>
      <c r="F1" s="2" t="s">
        <v>13</v>
      </c>
      <c r="G1" s="1" t="s">
        <v>17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34</v>
      </c>
      <c r="B2" s="8">
        <v>3803339.0</v>
      </c>
      <c r="C2" s="10" t="s">
        <v>41</v>
      </c>
      <c r="D2" s="11">
        <v>89.3096</v>
      </c>
      <c r="E2" s="9">
        <f t="shared" ref="E2:E4" si="1">B2/D2</f>
        <v>42586.00419</v>
      </c>
      <c r="F2" s="9">
        <f>(B2*B5)*C7</f>
        <v>161615.7025</v>
      </c>
      <c r="G2" s="9">
        <f t="shared" ref="G2:G4" si="2">B2+F2</f>
        <v>3964954.702</v>
      </c>
      <c r="K2" s="10"/>
    </row>
    <row r="3" ht="15.75" customHeight="1">
      <c r="A3" s="5" t="s">
        <v>47</v>
      </c>
      <c r="B3" s="8">
        <v>600567.0</v>
      </c>
      <c r="C3" s="10" t="s">
        <v>41</v>
      </c>
      <c r="D3" s="10">
        <v>45.53</v>
      </c>
      <c r="E3" s="9">
        <f t="shared" si="1"/>
        <v>13190.57764</v>
      </c>
      <c r="F3" s="9">
        <f>(B3*B$8)*C7</f>
        <v>23199.96327</v>
      </c>
      <c r="G3" s="9">
        <f t="shared" si="2"/>
        <v>623766.9633</v>
      </c>
      <c r="K3" s="10"/>
    </row>
    <row r="4" ht="15.75" customHeight="1">
      <c r="A4" s="5" t="s">
        <v>48</v>
      </c>
      <c r="B4" s="8">
        <v>2054000.0</v>
      </c>
      <c r="C4" s="10" t="s">
        <v>41</v>
      </c>
      <c r="D4" s="10">
        <v>45.53</v>
      </c>
      <c r="E4" s="9">
        <f t="shared" si="1"/>
        <v>45113.11223</v>
      </c>
      <c r="F4" s="9">
        <f>(B4*B$8)*C7</f>
        <v>79346.2254</v>
      </c>
      <c r="G4" s="9">
        <f t="shared" si="2"/>
        <v>2133346.225</v>
      </c>
      <c r="K4" s="10"/>
    </row>
    <row r="5" ht="15.75" customHeight="1">
      <c r="A5" s="5" t="s">
        <v>49</v>
      </c>
      <c r="B5" s="14">
        <v>0.11</v>
      </c>
      <c r="C5" s="15">
        <f>B5*0.0416666</f>
        <v>0.004583326</v>
      </c>
      <c r="D5" s="10"/>
      <c r="E5" s="9"/>
      <c r="F5" s="9"/>
      <c r="K5" s="10"/>
    </row>
    <row r="6" ht="15.75" customHeight="1">
      <c r="A6" s="5" t="s">
        <v>50</v>
      </c>
      <c r="B6" s="16">
        <v>0.0043</v>
      </c>
      <c r="C6" s="10"/>
      <c r="D6" s="10"/>
      <c r="E6" s="9"/>
      <c r="F6" s="9"/>
      <c r="K6" s="10"/>
    </row>
    <row r="7" ht="15.75" customHeight="1">
      <c r="A7" s="5" t="s">
        <v>51</v>
      </c>
      <c r="B7" s="8">
        <v>400000.0</v>
      </c>
      <c r="C7" s="10">
        <v>0.386301</v>
      </c>
      <c r="D7" s="10" t="s">
        <v>52</v>
      </c>
      <c r="E7" s="9"/>
      <c r="F7" s="9"/>
      <c r="K7" s="10"/>
    </row>
    <row r="8" ht="15.75" customHeight="1">
      <c r="A8" s="5" t="s">
        <v>53</v>
      </c>
      <c r="B8" s="14">
        <v>0.1</v>
      </c>
      <c r="C8" s="10"/>
      <c r="D8" s="10"/>
      <c r="E8" s="9"/>
      <c r="F8" s="9"/>
      <c r="K8" s="10"/>
    </row>
    <row r="9" ht="15.75" customHeight="1">
      <c r="A9" s="5" t="s">
        <v>54</v>
      </c>
      <c r="B9" s="14">
        <v>0.065</v>
      </c>
      <c r="C9" s="10"/>
      <c r="D9" s="10"/>
      <c r="E9" s="9"/>
      <c r="F9" s="9"/>
      <c r="K9" s="10"/>
    </row>
    <row r="10" ht="15.75" customHeight="1">
      <c r="A10" s="5" t="s">
        <v>55</v>
      </c>
      <c r="B10" s="8">
        <v>35000.0</v>
      </c>
      <c r="C10" s="10"/>
      <c r="D10" s="10"/>
      <c r="E10" s="9"/>
      <c r="F10" s="9"/>
      <c r="K10" s="10"/>
    </row>
    <row r="11" ht="15.75" customHeight="1">
      <c r="A11" s="5" t="s">
        <v>56</v>
      </c>
      <c r="B11" s="14">
        <v>0.03</v>
      </c>
      <c r="C11" s="10"/>
      <c r="D11" s="10"/>
      <c r="E11" s="9"/>
      <c r="F11" s="9"/>
      <c r="K11" s="10"/>
    </row>
    <row r="12" ht="15.75" customHeight="1">
      <c r="A12" s="5" t="s">
        <v>57</v>
      </c>
      <c r="B12" s="14">
        <v>0.2837</v>
      </c>
      <c r="C12" s="10"/>
      <c r="D12" s="10"/>
      <c r="E12" s="9"/>
      <c r="F12" s="9"/>
      <c r="K12" s="10"/>
    </row>
    <row r="13" ht="15.75" customHeight="1">
      <c r="A13" s="5" t="s">
        <v>58</v>
      </c>
      <c r="B13" s="8">
        <v>4000.0</v>
      </c>
      <c r="C13" s="10"/>
      <c r="D13" s="10"/>
      <c r="E13" s="9"/>
      <c r="F13" s="9"/>
      <c r="K13" s="10"/>
    </row>
    <row r="14" ht="15.75" customHeight="1">
      <c r="A14" s="17" t="s">
        <v>59</v>
      </c>
      <c r="B14" s="14">
        <v>0.0675</v>
      </c>
      <c r="C14" s="10"/>
      <c r="D14" s="10"/>
      <c r="E14" s="9"/>
      <c r="F14" s="9"/>
      <c r="K14" s="10"/>
    </row>
    <row r="15" ht="15.75" customHeight="1">
      <c r="A15" s="17" t="s">
        <v>60</v>
      </c>
      <c r="B15" s="8">
        <v>150000.0</v>
      </c>
      <c r="C15" s="10"/>
      <c r="D15" s="10"/>
      <c r="E15" s="9"/>
      <c r="F15" s="9"/>
      <c r="K15" s="10"/>
    </row>
    <row r="16" ht="15.75" customHeight="1">
      <c r="A16" s="5" t="s">
        <v>61</v>
      </c>
      <c r="B16" s="18">
        <v>83.48</v>
      </c>
      <c r="C16" s="10"/>
      <c r="D16" s="10"/>
      <c r="E16" s="9"/>
      <c r="F16" s="9"/>
      <c r="K16" s="10"/>
    </row>
    <row r="17" ht="15.75" customHeight="1">
      <c r="A17" s="5" t="s">
        <v>62</v>
      </c>
      <c r="B17" s="18">
        <v>43.74</v>
      </c>
      <c r="C17" s="10"/>
      <c r="D17" s="10"/>
      <c r="E17" s="9"/>
      <c r="F17" s="9"/>
      <c r="K17" s="10"/>
    </row>
    <row r="18" ht="15.75" customHeight="1">
      <c r="A18" s="19" t="s">
        <v>63</v>
      </c>
      <c r="B18" s="20" t="s">
        <v>64</v>
      </c>
      <c r="C18" s="21" t="s">
        <v>65</v>
      </c>
      <c r="D18" s="21" t="s">
        <v>66</v>
      </c>
      <c r="E18" s="22" t="s">
        <v>67</v>
      </c>
      <c r="F18" s="22"/>
      <c r="G18" s="23"/>
      <c r="H18" s="23"/>
      <c r="I18" s="23"/>
      <c r="J18" s="23"/>
      <c r="K18" s="21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4"/>
      <c r="B19" s="25"/>
      <c r="C19" s="26"/>
      <c r="D19" s="27"/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ht="15.75" customHeight="1">
      <c r="A20" s="30" t="s">
        <v>68</v>
      </c>
      <c r="B20" s="31">
        <v>0.0</v>
      </c>
      <c r="C20" s="32">
        <v>0.014</v>
      </c>
      <c r="D20" s="27">
        <v>0.0</v>
      </c>
      <c r="E20" s="27" t="s">
        <v>69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ht="15.75" customHeight="1">
      <c r="A21" s="33" t="s">
        <v>70</v>
      </c>
      <c r="B21" s="33">
        <v>20000.0</v>
      </c>
      <c r="C21" s="34">
        <v>0.0175</v>
      </c>
      <c r="D21" s="33">
        <v>280.0</v>
      </c>
      <c r="E21" s="35" t="s">
        <v>71</v>
      </c>
      <c r="F21" s="36"/>
      <c r="G21" s="36"/>
      <c r="H21" s="36"/>
      <c r="I21" s="36"/>
      <c r="J21" s="37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3" t="s">
        <v>72</v>
      </c>
      <c r="B22" s="33">
        <v>50000.0</v>
      </c>
      <c r="C22" s="34">
        <v>0.0245</v>
      </c>
      <c r="D22" s="33">
        <v>805.0</v>
      </c>
      <c r="E22" s="35" t="s">
        <v>73</v>
      </c>
      <c r="F22" s="36"/>
      <c r="G22" s="36"/>
      <c r="H22" s="36"/>
      <c r="I22" s="36"/>
      <c r="J22" s="37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3" t="s">
        <v>74</v>
      </c>
      <c r="B23" s="33">
        <v>70000.0</v>
      </c>
      <c r="C23" s="34">
        <v>0.035</v>
      </c>
      <c r="D23" s="33">
        <v>1295.5</v>
      </c>
      <c r="E23" s="35" t="s">
        <v>75</v>
      </c>
      <c r="F23" s="36"/>
      <c r="G23" s="36"/>
      <c r="H23" s="36"/>
      <c r="I23" s="36"/>
      <c r="J23" s="37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3" t="s">
        <v>76</v>
      </c>
      <c r="B24" s="33">
        <v>80000.0</v>
      </c>
      <c r="C24" s="34">
        <v>0.0553</v>
      </c>
      <c r="D24" s="33">
        <v>1645.0</v>
      </c>
      <c r="E24" s="35" t="s">
        <v>77</v>
      </c>
      <c r="F24" s="36"/>
      <c r="G24" s="36"/>
      <c r="H24" s="36"/>
      <c r="I24" s="36"/>
      <c r="J24" s="37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3" t="s">
        <v>78</v>
      </c>
      <c r="B25" s="33">
        <v>150000.0</v>
      </c>
      <c r="C25" s="34">
        <v>0.0637</v>
      </c>
      <c r="D25" s="33">
        <v>5512.5</v>
      </c>
      <c r="E25" s="35" t="s">
        <v>79</v>
      </c>
      <c r="F25" s="36"/>
      <c r="G25" s="36"/>
      <c r="H25" s="36"/>
      <c r="I25" s="36"/>
      <c r="J25" s="37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3" t="s">
        <v>80</v>
      </c>
      <c r="B26" s="33">
        <v>500000.0</v>
      </c>
      <c r="C26" s="34">
        <v>0.0897</v>
      </c>
      <c r="D26" s="33">
        <v>27807.5</v>
      </c>
      <c r="E26" s="35" t="s">
        <v>81</v>
      </c>
      <c r="F26" s="36"/>
      <c r="G26" s="36"/>
      <c r="H26" s="36"/>
      <c r="I26" s="36"/>
      <c r="J26" s="37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3" t="s">
        <v>82</v>
      </c>
      <c r="B27" s="33">
        <v>1000000.0</v>
      </c>
      <c r="C27" s="34">
        <v>0.1075</v>
      </c>
      <c r="D27" s="33">
        <v>72657.5</v>
      </c>
      <c r="E27" s="35" t="s">
        <v>83</v>
      </c>
      <c r="F27" s="36"/>
      <c r="G27" s="36"/>
      <c r="H27" s="36"/>
      <c r="I27" s="36"/>
      <c r="J27" s="37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8" t="s">
        <v>84</v>
      </c>
      <c r="B28" s="39">
        <v>0.0</v>
      </c>
      <c r="C28" s="37"/>
      <c r="D28" s="37"/>
      <c r="E28" s="35"/>
      <c r="F28" s="35"/>
      <c r="G28" s="36"/>
      <c r="H28" s="36"/>
      <c r="I28" s="36"/>
      <c r="J28" s="36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40" t="s">
        <v>85</v>
      </c>
      <c r="B29" s="41" t="s">
        <v>64</v>
      </c>
      <c r="C29" s="42" t="s">
        <v>65</v>
      </c>
      <c r="D29" s="42" t="s">
        <v>66</v>
      </c>
      <c r="E29" s="43" t="s">
        <v>86</v>
      </c>
      <c r="F29" s="44"/>
      <c r="G29" s="45"/>
      <c r="H29" s="45"/>
      <c r="I29" s="45"/>
      <c r="J29" s="45"/>
      <c r="K29" s="42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15.75" customHeight="1">
      <c r="A30" s="5" t="s">
        <v>87</v>
      </c>
      <c r="B30" s="39">
        <v>0.0</v>
      </c>
      <c r="C30" s="46">
        <v>0.1</v>
      </c>
      <c r="D30" s="47">
        <v>0.0</v>
      </c>
      <c r="E30" s="35" t="s">
        <v>88</v>
      </c>
      <c r="F30" s="35"/>
      <c r="G30" s="36"/>
      <c r="H30" s="36"/>
      <c r="I30" s="36"/>
      <c r="J30" s="36"/>
      <c r="K30" s="10"/>
    </row>
    <row r="31" ht="15.75" customHeight="1">
      <c r="A31" s="5" t="s">
        <v>89</v>
      </c>
      <c r="B31" s="48">
        <v>23200.0</v>
      </c>
      <c r="C31" s="46">
        <v>0.12</v>
      </c>
      <c r="D31" s="47">
        <v>2320.0</v>
      </c>
      <c r="E31" s="35" t="s">
        <v>90</v>
      </c>
      <c r="F31" s="35"/>
      <c r="G31" s="36"/>
      <c r="H31" s="36"/>
      <c r="I31" s="36"/>
      <c r="J31" s="36"/>
      <c r="K31" s="10"/>
    </row>
    <row r="32" ht="15.75" customHeight="1">
      <c r="A32" s="5" t="s">
        <v>91</v>
      </c>
      <c r="B32" s="49">
        <v>94300.0</v>
      </c>
      <c r="C32" s="46">
        <v>0.22</v>
      </c>
      <c r="D32" s="47">
        <v>10852.0</v>
      </c>
      <c r="E32" s="35" t="s">
        <v>92</v>
      </c>
      <c r="F32" s="35"/>
      <c r="G32" s="36"/>
      <c r="H32" s="36"/>
      <c r="I32" s="36"/>
      <c r="J32" s="36"/>
      <c r="K32" s="10"/>
    </row>
    <row r="33" ht="15.75" customHeight="1">
      <c r="A33" s="5" t="s">
        <v>93</v>
      </c>
      <c r="B33" s="50">
        <v>201050.0</v>
      </c>
      <c r="C33" s="46">
        <v>0.24</v>
      </c>
      <c r="D33" s="47">
        <v>34337.0</v>
      </c>
      <c r="E33" s="35" t="s">
        <v>94</v>
      </c>
      <c r="F33" s="35"/>
      <c r="G33" s="36"/>
      <c r="H33" s="36"/>
      <c r="I33" s="36"/>
      <c r="J33" s="36"/>
      <c r="K33" s="10"/>
    </row>
    <row r="34" ht="15.75" customHeight="1">
      <c r="A34" s="5" t="s">
        <v>95</v>
      </c>
      <c r="B34" s="39">
        <v>383900.0</v>
      </c>
      <c r="C34" s="46">
        <v>0.32</v>
      </c>
      <c r="D34" s="47">
        <v>78221.0</v>
      </c>
      <c r="E34" s="35" t="s">
        <v>96</v>
      </c>
      <c r="F34" s="35"/>
      <c r="G34" s="36"/>
      <c r="H34" s="36"/>
      <c r="I34" s="36"/>
      <c r="J34" s="36"/>
      <c r="K34" s="10"/>
    </row>
    <row r="35" ht="15.75" customHeight="1">
      <c r="A35" s="5" t="s">
        <v>97</v>
      </c>
      <c r="B35" s="39">
        <v>487450.0</v>
      </c>
      <c r="C35" s="46">
        <v>0.35</v>
      </c>
      <c r="D35" s="47">
        <v>111357.0</v>
      </c>
      <c r="E35" s="35" t="s">
        <v>98</v>
      </c>
      <c r="F35" s="35"/>
      <c r="G35" s="36"/>
      <c r="H35" s="36"/>
      <c r="I35" s="36"/>
      <c r="J35" s="36"/>
      <c r="K35" s="10"/>
    </row>
    <row r="36" ht="15.75" customHeight="1">
      <c r="A36" s="5" t="s">
        <v>99</v>
      </c>
      <c r="B36" s="8">
        <v>731200.0</v>
      </c>
      <c r="C36" s="51">
        <v>0.37</v>
      </c>
      <c r="D36" s="52">
        <v>196669.5</v>
      </c>
      <c r="E36" s="9" t="s">
        <v>100</v>
      </c>
      <c r="F36" s="9"/>
      <c r="K36" s="10"/>
    </row>
    <row r="37" ht="15.75" customHeight="1">
      <c r="A37" s="53" t="s">
        <v>101</v>
      </c>
      <c r="B37" s="8"/>
      <c r="C37" s="10"/>
      <c r="D37" s="10"/>
      <c r="E37" s="9"/>
      <c r="F37" s="9"/>
      <c r="K37" s="10"/>
    </row>
    <row r="38" ht="15.75" customHeight="1">
      <c r="A38" s="5"/>
      <c r="B38" s="8"/>
      <c r="C38" s="10"/>
      <c r="D38" s="10"/>
      <c r="E38" s="9"/>
      <c r="F38" s="9"/>
      <c r="K38" s="10"/>
    </row>
    <row r="39" ht="15.75" customHeight="1">
      <c r="A39" s="54" t="s">
        <v>102</v>
      </c>
      <c r="B39" s="55" t="s">
        <v>64</v>
      </c>
      <c r="C39" s="53" t="s">
        <v>65</v>
      </c>
      <c r="D39" s="53" t="s">
        <v>66</v>
      </c>
      <c r="E39" s="56" t="s">
        <v>86</v>
      </c>
      <c r="F39" s="56"/>
      <c r="G39" s="38"/>
      <c r="H39" s="38"/>
      <c r="I39" s="38"/>
      <c r="J39" s="38"/>
      <c r="K39" s="53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5.75" customHeight="1">
      <c r="A40" s="5" t="s">
        <v>103</v>
      </c>
      <c r="B40" s="8">
        <v>0.0</v>
      </c>
      <c r="C40" s="51">
        <v>0.0</v>
      </c>
      <c r="D40" s="10">
        <v>0.0</v>
      </c>
      <c r="E40" s="9" t="s">
        <v>104</v>
      </c>
      <c r="F40" s="9"/>
      <c r="K40" s="10"/>
    </row>
    <row r="41" ht="15.75" customHeight="1">
      <c r="A41" s="5" t="s">
        <v>105</v>
      </c>
      <c r="B41" s="8">
        <v>94050.0</v>
      </c>
      <c r="C41" s="51">
        <v>0.15</v>
      </c>
      <c r="D41" s="10">
        <v>0.0</v>
      </c>
      <c r="E41" s="9" t="s">
        <v>106</v>
      </c>
      <c r="F41" s="9"/>
      <c r="K41" s="10"/>
    </row>
    <row r="42" ht="15.75" customHeight="1">
      <c r="A42" s="5" t="s">
        <v>107</v>
      </c>
      <c r="B42" s="8">
        <v>583750.0</v>
      </c>
      <c r="C42" s="51">
        <v>0.2</v>
      </c>
      <c r="D42" s="10">
        <v>73455.0</v>
      </c>
      <c r="E42" s="9" t="s">
        <v>108</v>
      </c>
      <c r="F42" s="9"/>
      <c r="K42" s="10"/>
    </row>
    <row r="43" ht="15.75" customHeight="1">
      <c r="A43" s="5"/>
      <c r="B43" s="8"/>
      <c r="C43" s="10"/>
      <c r="D43" s="10"/>
      <c r="E43" s="9"/>
      <c r="F43" s="9"/>
      <c r="K43" s="10"/>
    </row>
    <row r="44" ht="15.75" customHeight="1">
      <c r="A44" s="54" t="s">
        <v>109</v>
      </c>
      <c r="B44" s="55" t="s">
        <v>110</v>
      </c>
      <c r="C44" s="53" t="s">
        <v>111</v>
      </c>
      <c r="D44" s="53"/>
      <c r="E44" s="56"/>
      <c r="F44" s="56"/>
      <c r="G44" s="38"/>
      <c r="H44" s="38"/>
      <c r="I44" s="38"/>
      <c r="J44" s="38"/>
      <c r="K44" s="53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5.75" customHeight="1">
      <c r="A45" s="5" t="s">
        <v>112</v>
      </c>
      <c r="B45" s="8">
        <v>40400.0</v>
      </c>
      <c r="C45" s="10" t="s">
        <v>113</v>
      </c>
      <c r="D45" s="10"/>
      <c r="E45" s="9"/>
      <c r="F45" s="9"/>
      <c r="K45" s="10"/>
    </row>
    <row r="46" ht="15.75" customHeight="1">
      <c r="A46" s="5" t="s">
        <v>114</v>
      </c>
      <c r="B46" s="8">
        <v>505000.0</v>
      </c>
      <c r="C46" s="10" t="s">
        <v>115</v>
      </c>
      <c r="D46" s="10"/>
      <c r="E46" s="9"/>
      <c r="F46" s="9"/>
      <c r="K46" s="10"/>
    </row>
    <row r="47" ht="15.75" customHeight="1">
      <c r="A47" s="5" t="s">
        <v>116</v>
      </c>
      <c r="B47" s="14">
        <v>0.3</v>
      </c>
      <c r="C47" s="10" t="s">
        <v>117</v>
      </c>
      <c r="D47" s="10"/>
      <c r="E47" s="9"/>
      <c r="F47" s="9"/>
      <c r="K47" s="10"/>
    </row>
    <row r="48" ht="15.75" customHeight="1">
      <c r="A48" s="5" t="s">
        <v>118</v>
      </c>
      <c r="B48" s="8">
        <v>10000.0</v>
      </c>
      <c r="C48" s="10" t="s">
        <v>119</v>
      </c>
      <c r="D48" s="10"/>
      <c r="E48" s="9"/>
      <c r="F48" s="9"/>
      <c r="K48" s="10"/>
    </row>
    <row r="49" ht="15.75" customHeight="1">
      <c r="A49" s="5" t="s">
        <v>120</v>
      </c>
      <c r="B49" s="14">
        <v>0.075</v>
      </c>
      <c r="C49" s="10" t="s">
        <v>121</v>
      </c>
      <c r="D49" s="10"/>
      <c r="E49" s="9"/>
      <c r="F49" s="9"/>
      <c r="K49" s="10"/>
    </row>
    <row r="50" ht="15.75" customHeight="1">
      <c r="A50" s="38" t="s">
        <v>122</v>
      </c>
      <c r="B50" s="9">
        <v>38918.0</v>
      </c>
      <c r="C50" s="10"/>
      <c r="D50" s="10"/>
      <c r="E50" s="9"/>
      <c r="F50" s="9"/>
      <c r="K50" s="10"/>
    </row>
    <row r="51" ht="15.75" customHeight="1">
      <c r="A51" s="38" t="s">
        <v>123</v>
      </c>
      <c r="B51" s="8">
        <v>20000.0</v>
      </c>
      <c r="C51" s="10"/>
      <c r="D51" s="10"/>
      <c r="E51" s="9"/>
      <c r="F51" s="9"/>
      <c r="K51" s="10"/>
    </row>
    <row r="52" ht="15.75" customHeight="1">
      <c r="A52" s="5"/>
      <c r="B52" s="8"/>
      <c r="C52" s="10"/>
      <c r="D52" s="10"/>
      <c r="E52" s="9"/>
      <c r="F52" s="9"/>
      <c r="K52" s="10"/>
    </row>
    <row r="53" ht="15.75" customHeight="1">
      <c r="A53" s="5" t="s">
        <v>124</v>
      </c>
      <c r="B53" s="8"/>
      <c r="C53" s="10" t="s">
        <v>125</v>
      </c>
      <c r="D53" s="10"/>
      <c r="E53" s="9"/>
      <c r="F53" s="9"/>
      <c r="K53" s="10"/>
    </row>
    <row r="54" ht="15.75" customHeight="1">
      <c r="A54" s="5">
        <v>2026.0</v>
      </c>
      <c r="B54" s="9">
        <f>'Inherited and Roth IRA'!K2</f>
        <v>200000</v>
      </c>
      <c r="C54" s="10">
        <f t="shared" ref="C54:C63" si="3">if(B54&gt;0,0,999999)</f>
        <v>0</v>
      </c>
      <c r="D54" s="10"/>
      <c r="E54" s="9"/>
      <c r="F54" s="9"/>
      <c r="K54" s="10"/>
    </row>
    <row r="55" ht="15.75" customHeight="1">
      <c r="A55" s="5">
        <v>2027.0</v>
      </c>
      <c r="B55" s="9">
        <f>'Inherited and Roth IRA'!K3</f>
        <v>200000</v>
      </c>
      <c r="C55" s="10">
        <f t="shared" si="3"/>
        <v>0</v>
      </c>
      <c r="D55" s="10"/>
      <c r="E55" s="9"/>
      <c r="F55" s="9"/>
      <c r="K55" s="10"/>
    </row>
    <row r="56" ht="15.75" customHeight="1">
      <c r="A56" s="5">
        <v>2028.0</v>
      </c>
      <c r="B56" s="9">
        <f>'Inherited and Roth IRA'!K4</f>
        <v>200000</v>
      </c>
      <c r="C56" s="10">
        <f t="shared" si="3"/>
        <v>0</v>
      </c>
      <c r="D56" s="10"/>
      <c r="E56" s="9"/>
      <c r="F56" s="9"/>
      <c r="K56" s="10"/>
    </row>
    <row r="57" ht="15.75" customHeight="1">
      <c r="A57" s="5">
        <v>2029.0</v>
      </c>
      <c r="B57" s="9">
        <f>'Inherited and Roth IRA'!K5</f>
        <v>200000</v>
      </c>
      <c r="C57" s="10">
        <f t="shared" si="3"/>
        <v>0</v>
      </c>
      <c r="D57" s="10"/>
      <c r="E57" s="9"/>
      <c r="F57" s="9"/>
      <c r="K57" s="10"/>
    </row>
    <row r="58" ht="15.75" customHeight="1">
      <c r="A58" s="5">
        <v>2030.0</v>
      </c>
      <c r="B58" s="9">
        <f>'Inherited and Roth IRA'!K6</f>
        <v>200000</v>
      </c>
      <c r="C58" s="10">
        <f t="shared" si="3"/>
        <v>0</v>
      </c>
      <c r="D58" s="10"/>
      <c r="E58" s="9"/>
      <c r="F58" s="9"/>
      <c r="K58" s="10"/>
    </row>
    <row r="59" ht="15.75" customHeight="1">
      <c r="A59" s="5">
        <v>2031.0</v>
      </c>
      <c r="B59" s="9">
        <f>'Inherited and Roth IRA'!K7</f>
        <v>200000</v>
      </c>
      <c r="C59" s="10">
        <f t="shared" si="3"/>
        <v>0</v>
      </c>
      <c r="D59" s="10"/>
      <c r="E59" s="9"/>
      <c r="F59" s="9"/>
      <c r="K59" s="10"/>
    </row>
    <row r="60" ht="15.75" customHeight="1">
      <c r="A60" s="5">
        <v>2032.0</v>
      </c>
      <c r="B60" s="9">
        <f>'Inherited and Roth IRA'!K8</f>
        <v>144757.1655</v>
      </c>
      <c r="C60" s="10">
        <f t="shared" si="3"/>
        <v>0</v>
      </c>
      <c r="D60" s="10"/>
      <c r="E60" s="9"/>
      <c r="F60" s="9"/>
      <c r="K60" s="10"/>
    </row>
    <row r="61" ht="15.75" customHeight="1">
      <c r="A61" s="5">
        <v>2033.0</v>
      </c>
      <c r="B61" s="9">
        <f>'Inherited and Roth IRA'!K9</f>
        <v>0</v>
      </c>
      <c r="C61" s="10">
        <f t="shared" si="3"/>
        <v>999999</v>
      </c>
      <c r="D61" s="10"/>
      <c r="E61" s="9"/>
      <c r="F61" s="9"/>
      <c r="K61" s="10"/>
    </row>
    <row r="62" ht="15.75" customHeight="1">
      <c r="A62" s="5">
        <v>2034.0</v>
      </c>
      <c r="B62" s="9">
        <f>'Inherited and Roth IRA'!K10</f>
        <v>0</v>
      </c>
      <c r="C62" s="10">
        <f t="shared" si="3"/>
        <v>999999</v>
      </c>
      <c r="D62" s="10"/>
      <c r="E62" s="9"/>
      <c r="F62" s="9"/>
      <c r="K62" s="10"/>
    </row>
    <row r="63" ht="15.75" customHeight="1">
      <c r="A63" s="5">
        <v>2035.0</v>
      </c>
      <c r="B63" s="9">
        <f>'Inherited and Roth IRA'!K11</f>
        <v>0</v>
      </c>
      <c r="C63" s="10">
        <f t="shared" si="3"/>
        <v>999999</v>
      </c>
      <c r="D63" s="10"/>
      <c r="E63" s="9"/>
      <c r="F63" s="9"/>
      <c r="K63" s="10"/>
    </row>
    <row r="64" ht="15.75" customHeight="1">
      <c r="A64" s="5"/>
      <c r="B64" s="8"/>
      <c r="C64" s="10"/>
      <c r="D64" s="10"/>
      <c r="E64" s="9"/>
      <c r="F64" s="9"/>
      <c r="K64" s="10"/>
    </row>
    <row r="65" ht="15.75" customHeight="1">
      <c r="A65" s="5"/>
      <c r="B65" s="8"/>
      <c r="C65" s="10"/>
      <c r="D65" s="10"/>
      <c r="E65" s="9"/>
      <c r="F65" s="9"/>
      <c r="K65" s="10"/>
    </row>
    <row r="66" ht="15.75" customHeight="1">
      <c r="A66" s="5"/>
      <c r="B66" s="8"/>
      <c r="C66" s="10"/>
      <c r="D66" s="10"/>
      <c r="E66" s="9"/>
      <c r="F66" s="9"/>
      <c r="K66" s="10"/>
    </row>
    <row r="67" ht="15.75" customHeight="1">
      <c r="A67" s="5"/>
      <c r="B67" s="8"/>
      <c r="C67" s="10"/>
      <c r="D67" s="10"/>
      <c r="E67" s="9"/>
      <c r="F67" s="9"/>
      <c r="K67" s="10"/>
    </row>
    <row r="68" ht="15.75" customHeight="1">
      <c r="A68" s="5"/>
      <c r="B68" s="8"/>
      <c r="C68" s="10"/>
      <c r="D68" s="10"/>
      <c r="E68" s="9"/>
      <c r="F68" s="9"/>
      <c r="K68" s="10"/>
    </row>
    <row r="69" ht="15.75" customHeight="1">
      <c r="A69" s="5"/>
      <c r="B69" s="8"/>
      <c r="C69" s="10"/>
      <c r="D69" s="10"/>
      <c r="E69" s="9"/>
      <c r="F69" s="9"/>
      <c r="K69" s="10"/>
    </row>
    <row r="70" ht="15.75" customHeight="1">
      <c r="A70" s="5"/>
      <c r="B70" s="8"/>
      <c r="C70" s="10"/>
      <c r="D70" s="10"/>
      <c r="E70" s="9"/>
      <c r="F70" s="9"/>
      <c r="K70" s="10"/>
    </row>
    <row r="71" ht="15.75" customHeight="1">
      <c r="A71" s="5"/>
      <c r="B71" s="8"/>
      <c r="C71" s="10"/>
      <c r="D71" s="10"/>
      <c r="E71" s="9"/>
      <c r="F71" s="9"/>
      <c r="K71" s="10"/>
    </row>
    <row r="72" ht="15.75" customHeight="1">
      <c r="A72" s="5"/>
      <c r="B72" s="8"/>
      <c r="C72" s="10"/>
      <c r="D72" s="10"/>
      <c r="E72" s="9"/>
      <c r="F72" s="9"/>
      <c r="K72" s="10"/>
    </row>
    <row r="73" ht="15.75" customHeight="1">
      <c r="A73" s="5"/>
      <c r="B73" s="8"/>
      <c r="C73" s="10"/>
      <c r="D73" s="10"/>
      <c r="E73" s="9"/>
      <c r="F73" s="9"/>
      <c r="K73" s="10"/>
    </row>
    <row r="74" ht="15.75" customHeight="1">
      <c r="A74" s="5"/>
      <c r="B74" s="8"/>
      <c r="C74" s="10"/>
      <c r="D74" s="10"/>
      <c r="E74" s="9"/>
      <c r="F74" s="9"/>
      <c r="K74" s="10"/>
    </row>
    <row r="75" ht="15.75" customHeight="1">
      <c r="A75" s="5"/>
      <c r="B75" s="8"/>
      <c r="C75" s="10"/>
      <c r="D75" s="10"/>
      <c r="E75" s="9"/>
      <c r="F75" s="9"/>
      <c r="K75" s="10"/>
    </row>
    <row r="76" ht="15.75" customHeight="1">
      <c r="A76" s="5"/>
      <c r="B76" s="8"/>
      <c r="C76" s="10"/>
      <c r="D76" s="10"/>
      <c r="E76" s="9"/>
      <c r="F76" s="9"/>
      <c r="K76" s="10"/>
    </row>
    <row r="77" ht="15.75" customHeight="1">
      <c r="A77" s="5"/>
      <c r="B77" s="8"/>
      <c r="C77" s="10"/>
      <c r="D77" s="10"/>
      <c r="E77" s="9"/>
      <c r="F77" s="9"/>
      <c r="K77" s="10"/>
    </row>
    <row r="78" ht="15.75" customHeight="1">
      <c r="A78" s="5"/>
      <c r="B78" s="8"/>
      <c r="C78" s="10"/>
      <c r="D78" s="10"/>
      <c r="E78" s="9"/>
      <c r="F78" s="9"/>
      <c r="K78" s="10"/>
    </row>
    <row r="79" ht="15.75" customHeight="1">
      <c r="A79" s="5"/>
      <c r="B79" s="8"/>
      <c r="C79" s="10"/>
      <c r="D79" s="10"/>
      <c r="E79" s="9"/>
      <c r="F79" s="9"/>
      <c r="K79" s="10"/>
    </row>
    <row r="80" ht="15.75" customHeight="1">
      <c r="A80" s="5"/>
      <c r="B80" s="8"/>
      <c r="C80" s="10"/>
      <c r="D80" s="10"/>
      <c r="E80" s="9"/>
      <c r="F80" s="9"/>
      <c r="K80" s="10"/>
    </row>
    <row r="81" ht="15.75" customHeight="1">
      <c r="A81" s="5"/>
      <c r="B81" s="8"/>
      <c r="C81" s="10"/>
      <c r="D81" s="10"/>
      <c r="E81" s="9"/>
      <c r="F81" s="9"/>
      <c r="K81" s="10"/>
    </row>
    <row r="82" ht="15.75" customHeight="1">
      <c r="A82" s="5"/>
      <c r="B82" s="8"/>
      <c r="C82" s="10"/>
      <c r="D82" s="10"/>
      <c r="E82" s="9"/>
      <c r="F82" s="9"/>
      <c r="K82" s="10"/>
    </row>
    <row r="83" ht="15.75" customHeight="1">
      <c r="A83" s="5"/>
      <c r="B83" s="8"/>
      <c r="C83" s="10"/>
      <c r="D83" s="10"/>
      <c r="E83" s="9"/>
      <c r="F83" s="9"/>
      <c r="K83" s="10"/>
    </row>
    <row r="84" ht="15.75" customHeight="1">
      <c r="A84" s="5"/>
      <c r="B84" s="8"/>
      <c r="C84" s="10"/>
      <c r="D84" s="10"/>
      <c r="E84" s="9"/>
      <c r="F84" s="9"/>
      <c r="K84" s="10"/>
    </row>
    <row r="85" ht="15.75" customHeight="1">
      <c r="A85" s="5"/>
      <c r="B85" s="8"/>
      <c r="C85" s="10"/>
      <c r="D85" s="10"/>
      <c r="E85" s="9"/>
      <c r="F85" s="9"/>
      <c r="K85" s="10"/>
    </row>
    <row r="86" ht="15.75" customHeight="1">
      <c r="A86" s="5"/>
      <c r="B86" s="8"/>
      <c r="C86" s="10"/>
      <c r="D86" s="10"/>
      <c r="E86" s="9"/>
      <c r="F86" s="9"/>
      <c r="K86" s="10"/>
    </row>
    <row r="87" ht="15.75" customHeight="1">
      <c r="A87" s="5"/>
      <c r="B87" s="8"/>
      <c r="C87" s="10"/>
      <c r="D87" s="10"/>
      <c r="E87" s="9"/>
      <c r="F87" s="9"/>
      <c r="K87" s="10"/>
    </row>
    <row r="88" ht="15.75" customHeight="1">
      <c r="A88" s="5"/>
      <c r="B88" s="8"/>
      <c r="C88" s="10"/>
      <c r="D88" s="10"/>
      <c r="E88" s="9"/>
      <c r="F88" s="9"/>
      <c r="K88" s="10"/>
    </row>
    <row r="89" ht="15.75" customHeight="1">
      <c r="A89" s="5"/>
      <c r="B89" s="8"/>
      <c r="C89" s="10"/>
      <c r="D89" s="10"/>
      <c r="E89" s="9"/>
      <c r="F89" s="9"/>
      <c r="K89" s="10"/>
    </row>
    <row r="90" ht="15.75" customHeight="1">
      <c r="A90" s="5"/>
      <c r="B90" s="8"/>
      <c r="C90" s="10"/>
      <c r="D90" s="10"/>
      <c r="E90" s="9"/>
      <c r="F90" s="9"/>
      <c r="K90" s="10"/>
    </row>
    <row r="91" ht="15.75" customHeight="1">
      <c r="A91" s="5"/>
      <c r="B91" s="8"/>
      <c r="C91" s="10"/>
      <c r="D91" s="10"/>
      <c r="E91" s="9"/>
      <c r="F91" s="9"/>
      <c r="K91" s="10"/>
    </row>
    <row r="92" ht="15.75" customHeight="1">
      <c r="A92" s="5"/>
      <c r="B92" s="8"/>
      <c r="C92" s="10"/>
      <c r="D92" s="10"/>
      <c r="E92" s="9"/>
      <c r="F92" s="9"/>
      <c r="K92" s="10"/>
    </row>
    <row r="93" ht="15.75" customHeight="1">
      <c r="A93" s="5"/>
      <c r="B93" s="8"/>
      <c r="C93" s="10"/>
      <c r="D93" s="10"/>
      <c r="E93" s="9"/>
      <c r="F93" s="9"/>
      <c r="K93" s="10"/>
    </row>
    <row r="94" ht="15.75" customHeight="1">
      <c r="A94" s="5"/>
      <c r="B94" s="8"/>
      <c r="C94" s="10"/>
      <c r="D94" s="10"/>
      <c r="E94" s="9"/>
      <c r="F94" s="9"/>
      <c r="K94" s="10"/>
    </row>
    <row r="95" ht="15.75" customHeight="1">
      <c r="A95" s="5"/>
      <c r="B95" s="8"/>
      <c r="C95" s="10"/>
      <c r="D95" s="10"/>
      <c r="E95" s="9"/>
      <c r="F95" s="9"/>
      <c r="K95" s="10"/>
    </row>
    <row r="96" ht="15.75" customHeight="1">
      <c r="A96" s="5"/>
      <c r="B96" s="8"/>
      <c r="C96" s="10"/>
      <c r="D96" s="10"/>
      <c r="E96" s="9"/>
      <c r="F96" s="9"/>
      <c r="K96" s="10"/>
    </row>
    <row r="97" ht="15.75" customHeight="1">
      <c r="A97" s="5"/>
      <c r="B97" s="8"/>
      <c r="C97" s="10"/>
      <c r="D97" s="10"/>
      <c r="E97" s="9"/>
      <c r="F97" s="9"/>
      <c r="K97" s="10"/>
    </row>
    <row r="98" ht="15.75" customHeight="1">
      <c r="A98" s="5"/>
      <c r="B98" s="8"/>
      <c r="C98" s="10"/>
      <c r="D98" s="10"/>
      <c r="E98" s="9"/>
      <c r="F98" s="9"/>
      <c r="K98" s="10"/>
    </row>
    <row r="99" ht="15.75" customHeight="1">
      <c r="A99" s="5"/>
      <c r="B99" s="8"/>
      <c r="C99" s="10"/>
      <c r="D99" s="10"/>
      <c r="E99" s="9"/>
      <c r="F99" s="9"/>
      <c r="K99" s="10"/>
    </row>
    <row r="100" ht="15.75" customHeight="1">
      <c r="A100" s="5"/>
      <c r="B100" s="8"/>
      <c r="C100" s="10"/>
      <c r="D100" s="10"/>
      <c r="E100" s="9"/>
      <c r="F100" s="9"/>
      <c r="K100" s="10"/>
    </row>
    <row r="101" ht="15.75" customHeight="1">
      <c r="A101" s="5"/>
      <c r="B101" s="8"/>
      <c r="C101" s="10"/>
      <c r="D101" s="10"/>
      <c r="E101" s="9"/>
      <c r="F101" s="9"/>
      <c r="K101" s="10"/>
    </row>
    <row r="102" ht="15.75" customHeight="1">
      <c r="A102" s="5"/>
      <c r="B102" s="8"/>
      <c r="C102" s="10"/>
      <c r="D102" s="10"/>
      <c r="E102" s="9"/>
      <c r="F102" s="9"/>
      <c r="K102" s="10"/>
    </row>
    <row r="103" ht="15.75" customHeight="1">
      <c r="A103" s="5"/>
      <c r="B103" s="8"/>
      <c r="C103" s="10"/>
      <c r="D103" s="10"/>
      <c r="E103" s="9"/>
      <c r="F103" s="9"/>
      <c r="K103" s="10"/>
    </row>
    <row r="104" ht="15.75" customHeight="1">
      <c r="A104" s="5"/>
      <c r="B104" s="8"/>
      <c r="C104" s="10"/>
      <c r="D104" s="10"/>
      <c r="E104" s="9"/>
      <c r="F104" s="9"/>
      <c r="K104" s="10"/>
    </row>
    <row r="105" ht="15.75" customHeight="1">
      <c r="A105" s="5"/>
      <c r="B105" s="8"/>
      <c r="C105" s="10"/>
      <c r="D105" s="10"/>
      <c r="E105" s="9"/>
      <c r="F105" s="9"/>
      <c r="K105" s="10"/>
    </row>
    <row r="106" ht="15.75" customHeight="1">
      <c r="A106" s="5"/>
      <c r="B106" s="8"/>
      <c r="C106" s="10"/>
      <c r="D106" s="10"/>
      <c r="E106" s="9"/>
      <c r="F106" s="9"/>
      <c r="K106" s="10"/>
    </row>
    <row r="107" ht="15.75" customHeight="1">
      <c r="A107" s="5"/>
      <c r="B107" s="8"/>
      <c r="C107" s="10"/>
      <c r="D107" s="10"/>
      <c r="E107" s="9"/>
      <c r="F107" s="9"/>
      <c r="K107" s="10"/>
    </row>
    <row r="108" ht="15.75" customHeight="1">
      <c r="A108" s="5"/>
      <c r="B108" s="8"/>
      <c r="C108" s="10"/>
      <c r="D108" s="10"/>
      <c r="E108" s="9"/>
      <c r="F108" s="9"/>
      <c r="K108" s="10"/>
    </row>
    <row r="109" ht="15.75" customHeight="1">
      <c r="A109" s="5"/>
      <c r="B109" s="8"/>
      <c r="C109" s="10"/>
      <c r="D109" s="10"/>
      <c r="E109" s="9"/>
      <c r="F109" s="9"/>
      <c r="K109" s="10"/>
    </row>
    <row r="110" ht="15.75" customHeight="1">
      <c r="A110" s="5"/>
      <c r="B110" s="8"/>
      <c r="C110" s="10"/>
      <c r="D110" s="10"/>
      <c r="E110" s="9"/>
      <c r="F110" s="9"/>
      <c r="K110" s="10"/>
    </row>
    <row r="111" ht="15.75" customHeight="1">
      <c r="A111" s="5"/>
      <c r="B111" s="8"/>
      <c r="C111" s="10"/>
      <c r="D111" s="10"/>
      <c r="E111" s="9"/>
      <c r="F111" s="9"/>
      <c r="K111" s="10"/>
    </row>
    <row r="112" ht="15.75" customHeight="1">
      <c r="A112" s="5"/>
      <c r="B112" s="8"/>
      <c r="C112" s="10"/>
      <c r="D112" s="10"/>
      <c r="E112" s="9"/>
      <c r="F112" s="9"/>
      <c r="K112" s="10"/>
    </row>
    <row r="113" ht="15.75" customHeight="1">
      <c r="A113" s="5"/>
      <c r="B113" s="8"/>
      <c r="C113" s="10"/>
      <c r="D113" s="10"/>
      <c r="E113" s="9"/>
      <c r="F113" s="9"/>
      <c r="K113" s="10"/>
    </row>
    <row r="114" ht="15.75" customHeight="1">
      <c r="A114" s="5"/>
      <c r="B114" s="8"/>
      <c r="C114" s="10"/>
      <c r="D114" s="10"/>
      <c r="E114" s="9"/>
      <c r="F114" s="9"/>
      <c r="K114" s="10"/>
    </row>
    <row r="115" ht="15.75" customHeight="1">
      <c r="A115" s="5"/>
      <c r="B115" s="8"/>
      <c r="C115" s="10"/>
      <c r="D115" s="10"/>
      <c r="E115" s="9"/>
      <c r="F115" s="9"/>
      <c r="K115" s="10"/>
    </row>
    <row r="116" ht="15.75" customHeight="1">
      <c r="A116" s="5"/>
      <c r="B116" s="8"/>
      <c r="C116" s="10"/>
      <c r="D116" s="10"/>
      <c r="E116" s="9"/>
      <c r="F116" s="9"/>
      <c r="K116" s="10"/>
    </row>
    <row r="117" ht="15.75" customHeight="1">
      <c r="A117" s="5"/>
      <c r="B117" s="8"/>
      <c r="C117" s="10"/>
      <c r="D117" s="10"/>
      <c r="E117" s="9"/>
      <c r="F117" s="9"/>
      <c r="K117" s="10"/>
    </row>
    <row r="118" ht="15.75" customHeight="1">
      <c r="A118" s="5"/>
      <c r="B118" s="8"/>
      <c r="C118" s="10"/>
      <c r="D118" s="10"/>
      <c r="E118" s="9"/>
      <c r="F118" s="9"/>
      <c r="K118" s="10"/>
    </row>
    <row r="119" ht="15.75" customHeight="1">
      <c r="A119" s="5"/>
      <c r="B119" s="8"/>
      <c r="C119" s="10"/>
      <c r="D119" s="10"/>
      <c r="E119" s="9"/>
      <c r="F119" s="9"/>
      <c r="K119" s="10"/>
    </row>
    <row r="120" ht="15.75" customHeight="1">
      <c r="A120" s="5"/>
      <c r="B120" s="8"/>
      <c r="C120" s="10"/>
      <c r="D120" s="10"/>
      <c r="E120" s="9"/>
      <c r="F120" s="9"/>
      <c r="K120" s="10"/>
    </row>
    <row r="121" ht="15.75" customHeight="1">
      <c r="A121" s="5"/>
      <c r="B121" s="8"/>
      <c r="C121" s="10"/>
      <c r="D121" s="10"/>
      <c r="E121" s="9"/>
      <c r="F121" s="9"/>
      <c r="K121" s="10"/>
    </row>
    <row r="122" ht="15.75" customHeight="1">
      <c r="A122" s="5"/>
      <c r="B122" s="8"/>
      <c r="C122" s="10"/>
      <c r="D122" s="10"/>
      <c r="E122" s="9"/>
      <c r="F122" s="9"/>
      <c r="K122" s="10"/>
    </row>
    <row r="123" ht="15.75" customHeight="1">
      <c r="A123" s="5"/>
      <c r="B123" s="8"/>
      <c r="C123" s="10"/>
      <c r="D123" s="10"/>
      <c r="E123" s="9"/>
      <c r="F123" s="9"/>
      <c r="K123" s="10"/>
    </row>
    <row r="124" ht="15.75" customHeight="1">
      <c r="A124" s="5"/>
      <c r="B124" s="8"/>
      <c r="C124" s="10"/>
      <c r="D124" s="10"/>
      <c r="E124" s="9"/>
      <c r="F124" s="9"/>
      <c r="K124" s="10"/>
    </row>
    <row r="125" ht="15.75" customHeight="1">
      <c r="A125" s="5"/>
      <c r="B125" s="8"/>
      <c r="C125" s="10"/>
      <c r="D125" s="10"/>
      <c r="E125" s="9"/>
      <c r="F125" s="9"/>
      <c r="K125" s="10"/>
    </row>
    <row r="126" ht="15.75" customHeight="1">
      <c r="A126" s="5"/>
      <c r="B126" s="8"/>
      <c r="C126" s="10"/>
      <c r="D126" s="10"/>
      <c r="E126" s="9"/>
      <c r="F126" s="9"/>
      <c r="K126" s="10"/>
    </row>
    <row r="127" ht="15.75" customHeight="1">
      <c r="A127" s="5"/>
      <c r="B127" s="8"/>
      <c r="C127" s="10"/>
      <c r="D127" s="10"/>
      <c r="E127" s="9"/>
      <c r="F127" s="9"/>
      <c r="K127" s="10"/>
    </row>
    <row r="128" ht="15.75" customHeight="1">
      <c r="A128" s="5"/>
      <c r="B128" s="8"/>
      <c r="C128" s="10"/>
      <c r="D128" s="10"/>
      <c r="E128" s="9"/>
      <c r="F128" s="9"/>
      <c r="K128" s="10"/>
    </row>
    <row r="129" ht="15.75" customHeight="1">
      <c r="A129" s="5"/>
      <c r="B129" s="8"/>
      <c r="C129" s="10"/>
      <c r="D129" s="10"/>
      <c r="E129" s="9"/>
      <c r="F129" s="9"/>
      <c r="K129" s="10"/>
    </row>
    <row r="130" ht="15.75" customHeight="1">
      <c r="A130" s="5"/>
      <c r="B130" s="8"/>
      <c r="C130" s="10"/>
      <c r="D130" s="10"/>
      <c r="E130" s="9"/>
      <c r="F130" s="9"/>
      <c r="K130" s="10"/>
    </row>
    <row r="131" ht="15.75" customHeight="1">
      <c r="A131" s="5"/>
      <c r="B131" s="8"/>
      <c r="C131" s="10"/>
      <c r="D131" s="10"/>
      <c r="E131" s="9"/>
      <c r="F131" s="9"/>
      <c r="K131" s="10"/>
    </row>
    <row r="132" ht="15.75" customHeight="1">
      <c r="A132" s="5"/>
      <c r="B132" s="8"/>
      <c r="C132" s="10"/>
      <c r="D132" s="10"/>
      <c r="E132" s="9"/>
      <c r="F132" s="9"/>
      <c r="K132" s="10"/>
    </row>
    <row r="133" ht="15.75" customHeight="1">
      <c r="A133" s="5"/>
      <c r="B133" s="8"/>
      <c r="C133" s="10"/>
      <c r="D133" s="10"/>
      <c r="E133" s="9"/>
      <c r="F133" s="9"/>
      <c r="K133" s="10"/>
    </row>
    <row r="134" ht="15.75" customHeight="1">
      <c r="A134" s="5"/>
      <c r="B134" s="8"/>
      <c r="C134" s="10"/>
      <c r="D134" s="10"/>
      <c r="E134" s="9"/>
      <c r="F134" s="9"/>
      <c r="K134" s="10"/>
    </row>
    <row r="135" ht="15.75" customHeight="1">
      <c r="A135" s="5"/>
      <c r="B135" s="8"/>
      <c r="C135" s="10"/>
      <c r="D135" s="10"/>
      <c r="E135" s="9"/>
      <c r="F135" s="9"/>
      <c r="K135" s="10"/>
    </row>
    <row r="136" ht="15.75" customHeight="1">
      <c r="A136" s="5"/>
      <c r="B136" s="8"/>
      <c r="C136" s="10"/>
      <c r="D136" s="10"/>
      <c r="E136" s="9"/>
      <c r="F136" s="9"/>
      <c r="K136" s="10"/>
    </row>
    <row r="137" ht="15.75" customHeight="1">
      <c r="A137" s="5"/>
      <c r="B137" s="8"/>
      <c r="C137" s="10"/>
      <c r="D137" s="10"/>
      <c r="E137" s="9"/>
      <c r="F137" s="9"/>
      <c r="K137" s="10"/>
    </row>
    <row r="138" ht="15.75" customHeight="1">
      <c r="A138" s="5"/>
      <c r="B138" s="8"/>
      <c r="C138" s="10"/>
      <c r="D138" s="10"/>
      <c r="E138" s="9"/>
      <c r="F138" s="9"/>
      <c r="K138" s="10"/>
    </row>
    <row r="139" ht="15.75" customHeight="1">
      <c r="A139" s="5"/>
      <c r="B139" s="8"/>
      <c r="C139" s="10"/>
      <c r="D139" s="10"/>
      <c r="E139" s="9"/>
      <c r="F139" s="9"/>
      <c r="K139" s="10"/>
    </row>
    <row r="140" ht="15.75" customHeight="1">
      <c r="A140" s="5"/>
      <c r="B140" s="8"/>
      <c r="C140" s="10"/>
      <c r="D140" s="10"/>
      <c r="E140" s="9"/>
      <c r="F140" s="9"/>
      <c r="K140" s="10"/>
    </row>
    <row r="141" ht="15.75" customHeight="1">
      <c r="A141" s="5"/>
      <c r="B141" s="8"/>
      <c r="C141" s="10"/>
      <c r="D141" s="10"/>
      <c r="E141" s="9"/>
      <c r="F141" s="9"/>
      <c r="K141" s="10"/>
    </row>
    <row r="142" ht="15.75" customHeight="1">
      <c r="A142" s="5"/>
      <c r="B142" s="8"/>
      <c r="C142" s="10"/>
      <c r="D142" s="10"/>
      <c r="E142" s="9"/>
      <c r="F142" s="9"/>
      <c r="K142" s="10"/>
    </row>
    <row r="143" ht="15.75" customHeight="1">
      <c r="A143" s="5"/>
      <c r="B143" s="8"/>
      <c r="C143" s="10"/>
      <c r="D143" s="10"/>
      <c r="E143" s="9"/>
      <c r="F143" s="9"/>
      <c r="K143" s="10"/>
    </row>
    <row r="144" ht="15.75" customHeight="1">
      <c r="A144" s="5"/>
      <c r="B144" s="8"/>
      <c r="C144" s="10"/>
      <c r="D144" s="10"/>
      <c r="E144" s="9"/>
      <c r="F144" s="9"/>
      <c r="K144" s="10"/>
    </row>
    <row r="145" ht="15.75" customHeight="1">
      <c r="A145" s="5"/>
      <c r="B145" s="8"/>
      <c r="C145" s="10"/>
      <c r="D145" s="10"/>
      <c r="E145" s="9"/>
      <c r="F145" s="9"/>
      <c r="K145" s="10"/>
    </row>
    <row r="146" ht="15.75" customHeight="1">
      <c r="A146" s="5"/>
      <c r="B146" s="8"/>
      <c r="C146" s="10"/>
      <c r="D146" s="10"/>
      <c r="E146" s="9"/>
      <c r="F146" s="9"/>
      <c r="K146" s="10"/>
    </row>
    <row r="147" ht="15.75" customHeight="1">
      <c r="A147" s="5"/>
      <c r="B147" s="8"/>
      <c r="C147" s="10"/>
      <c r="D147" s="10"/>
      <c r="E147" s="9"/>
      <c r="F147" s="9"/>
      <c r="K147" s="10"/>
    </row>
    <row r="148" ht="15.75" customHeight="1">
      <c r="A148" s="5"/>
      <c r="B148" s="8"/>
      <c r="C148" s="10"/>
      <c r="D148" s="10"/>
      <c r="E148" s="9"/>
      <c r="F148" s="9"/>
      <c r="K148" s="10"/>
    </row>
    <row r="149" ht="15.75" customHeight="1">
      <c r="A149" s="5"/>
      <c r="B149" s="8"/>
      <c r="C149" s="10"/>
      <c r="D149" s="10"/>
      <c r="E149" s="9"/>
      <c r="F149" s="9"/>
      <c r="K149" s="10"/>
    </row>
    <row r="150" ht="15.75" customHeight="1">
      <c r="A150" s="5"/>
      <c r="B150" s="8"/>
      <c r="C150" s="10"/>
      <c r="D150" s="10"/>
      <c r="E150" s="9"/>
      <c r="F150" s="9"/>
      <c r="K150" s="10"/>
    </row>
    <row r="151" ht="15.75" customHeight="1">
      <c r="A151" s="5"/>
      <c r="B151" s="8"/>
      <c r="C151" s="10"/>
      <c r="D151" s="10"/>
      <c r="E151" s="9"/>
      <c r="F151" s="9"/>
      <c r="K151" s="10"/>
    </row>
    <row r="152" ht="15.75" customHeight="1">
      <c r="A152" s="5"/>
      <c r="B152" s="8"/>
      <c r="C152" s="10"/>
      <c r="D152" s="10"/>
      <c r="E152" s="9"/>
      <c r="F152" s="9"/>
      <c r="K152" s="10"/>
    </row>
    <row r="153" ht="15.75" customHeight="1">
      <c r="A153" s="5"/>
      <c r="B153" s="8"/>
      <c r="C153" s="10"/>
      <c r="D153" s="10"/>
      <c r="E153" s="9"/>
      <c r="F153" s="9"/>
      <c r="K153" s="10"/>
    </row>
    <row r="154" ht="15.75" customHeight="1">
      <c r="A154" s="5"/>
      <c r="B154" s="8"/>
      <c r="C154" s="10"/>
      <c r="D154" s="10"/>
      <c r="E154" s="9"/>
      <c r="F154" s="9"/>
      <c r="K154" s="10"/>
    </row>
    <row r="155" ht="15.75" customHeight="1">
      <c r="A155" s="5"/>
      <c r="B155" s="8"/>
      <c r="C155" s="10"/>
      <c r="D155" s="10"/>
      <c r="E155" s="9"/>
      <c r="F155" s="9"/>
      <c r="K155" s="10"/>
    </row>
    <row r="156" ht="15.75" customHeight="1">
      <c r="A156" s="5"/>
      <c r="B156" s="8"/>
      <c r="C156" s="10"/>
      <c r="D156" s="10"/>
      <c r="E156" s="9"/>
      <c r="F156" s="9"/>
      <c r="K156" s="10"/>
    </row>
    <row r="157" ht="15.75" customHeight="1">
      <c r="A157" s="5"/>
      <c r="B157" s="8"/>
      <c r="C157" s="10"/>
      <c r="D157" s="10"/>
      <c r="E157" s="9"/>
      <c r="F157" s="9"/>
      <c r="K157" s="10"/>
    </row>
    <row r="158" ht="15.75" customHeight="1">
      <c r="A158" s="5"/>
      <c r="B158" s="8"/>
      <c r="C158" s="10"/>
      <c r="D158" s="10"/>
      <c r="E158" s="9"/>
      <c r="F158" s="9"/>
      <c r="K158" s="10"/>
    </row>
    <row r="159" ht="15.75" customHeight="1">
      <c r="A159" s="5"/>
      <c r="B159" s="8"/>
      <c r="C159" s="10"/>
      <c r="D159" s="10"/>
      <c r="E159" s="9"/>
      <c r="F159" s="9"/>
      <c r="K159" s="10"/>
    </row>
    <row r="160" ht="15.75" customHeight="1">
      <c r="A160" s="5"/>
      <c r="B160" s="8"/>
      <c r="C160" s="10"/>
      <c r="D160" s="10"/>
      <c r="E160" s="9"/>
      <c r="F160" s="9"/>
      <c r="K160" s="10"/>
    </row>
    <row r="161" ht="15.75" customHeight="1">
      <c r="A161" s="5"/>
      <c r="B161" s="8"/>
      <c r="C161" s="10"/>
      <c r="D161" s="10"/>
      <c r="E161" s="9"/>
      <c r="F161" s="9"/>
      <c r="K161" s="10"/>
    </row>
    <row r="162" ht="15.75" customHeight="1">
      <c r="A162" s="5"/>
      <c r="B162" s="8"/>
      <c r="C162" s="10"/>
      <c r="D162" s="10"/>
      <c r="E162" s="9"/>
      <c r="F162" s="9"/>
      <c r="K162" s="10"/>
    </row>
    <row r="163" ht="15.75" customHeight="1">
      <c r="A163" s="5"/>
      <c r="B163" s="8"/>
      <c r="C163" s="10"/>
      <c r="D163" s="10"/>
      <c r="E163" s="9"/>
      <c r="F163" s="9"/>
      <c r="K163" s="10"/>
    </row>
    <row r="164" ht="15.75" customHeight="1">
      <c r="A164" s="5"/>
      <c r="B164" s="8"/>
      <c r="C164" s="10"/>
      <c r="D164" s="10"/>
      <c r="E164" s="9"/>
      <c r="F164" s="9"/>
      <c r="K164" s="10"/>
    </row>
    <row r="165" ht="15.75" customHeight="1">
      <c r="A165" s="5"/>
      <c r="B165" s="8"/>
      <c r="C165" s="10"/>
      <c r="D165" s="10"/>
      <c r="E165" s="9"/>
      <c r="F165" s="9"/>
      <c r="K165" s="10"/>
    </row>
    <row r="166" ht="15.75" customHeight="1">
      <c r="A166" s="5"/>
      <c r="B166" s="8"/>
      <c r="C166" s="10"/>
      <c r="D166" s="10"/>
      <c r="E166" s="9"/>
      <c r="F166" s="9"/>
      <c r="K166" s="10"/>
    </row>
    <row r="167" ht="15.75" customHeight="1">
      <c r="A167" s="5"/>
      <c r="B167" s="8"/>
      <c r="C167" s="10"/>
      <c r="D167" s="10"/>
      <c r="E167" s="9"/>
      <c r="F167" s="9"/>
      <c r="K167" s="10"/>
    </row>
    <row r="168" ht="15.75" customHeight="1">
      <c r="A168" s="5"/>
      <c r="B168" s="8"/>
      <c r="C168" s="10"/>
      <c r="D168" s="10"/>
      <c r="E168" s="9"/>
      <c r="F168" s="9"/>
      <c r="K168" s="10"/>
    </row>
    <row r="169" ht="15.75" customHeight="1">
      <c r="A169" s="5"/>
      <c r="B169" s="8"/>
      <c r="C169" s="10"/>
      <c r="D169" s="10"/>
      <c r="E169" s="9"/>
      <c r="F169" s="9"/>
      <c r="K169" s="10"/>
    </row>
    <row r="170" ht="15.75" customHeight="1">
      <c r="A170" s="5"/>
      <c r="B170" s="8"/>
      <c r="C170" s="10"/>
      <c r="D170" s="10"/>
      <c r="E170" s="9"/>
      <c r="F170" s="9"/>
      <c r="K170" s="10"/>
    </row>
    <row r="171" ht="15.75" customHeight="1">
      <c r="A171" s="5"/>
      <c r="B171" s="8"/>
      <c r="C171" s="10"/>
      <c r="D171" s="10"/>
      <c r="E171" s="9"/>
      <c r="F171" s="9"/>
      <c r="K171" s="10"/>
    </row>
    <row r="172" ht="15.75" customHeight="1">
      <c r="A172" s="5"/>
      <c r="B172" s="8"/>
      <c r="C172" s="10"/>
      <c r="D172" s="10"/>
      <c r="E172" s="9"/>
      <c r="F172" s="9"/>
      <c r="K172" s="10"/>
    </row>
    <row r="173" ht="15.75" customHeight="1">
      <c r="A173" s="5"/>
      <c r="B173" s="8"/>
      <c r="C173" s="10"/>
      <c r="D173" s="10"/>
      <c r="E173" s="9"/>
      <c r="F173" s="9"/>
      <c r="K173" s="10"/>
    </row>
    <row r="174" ht="15.75" customHeight="1">
      <c r="A174" s="5"/>
      <c r="B174" s="8"/>
      <c r="C174" s="10"/>
      <c r="D174" s="10"/>
      <c r="E174" s="9"/>
      <c r="F174" s="9"/>
      <c r="K174" s="10"/>
    </row>
    <row r="175" ht="15.75" customHeight="1">
      <c r="A175" s="5"/>
      <c r="B175" s="8"/>
      <c r="C175" s="10"/>
      <c r="D175" s="10"/>
      <c r="E175" s="9"/>
      <c r="F175" s="9"/>
      <c r="K175" s="10"/>
    </row>
    <row r="176" ht="15.75" customHeight="1">
      <c r="A176" s="5"/>
      <c r="B176" s="8"/>
      <c r="C176" s="10"/>
      <c r="D176" s="10"/>
      <c r="E176" s="9"/>
      <c r="F176" s="9"/>
      <c r="K176" s="10"/>
    </row>
    <row r="177" ht="15.75" customHeight="1">
      <c r="A177" s="5"/>
      <c r="B177" s="8"/>
      <c r="C177" s="10"/>
      <c r="D177" s="10"/>
      <c r="E177" s="9"/>
      <c r="F177" s="9"/>
      <c r="K177" s="10"/>
    </row>
    <row r="178" ht="15.75" customHeight="1">
      <c r="A178" s="5"/>
      <c r="B178" s="8"/>
      <c r="C178" s="10"/>
      <c r="D178" s="10"/>
      <c r="E178" s="9"/>
      <c r="F178" s="9"/>
      <c r="K178" s="10"/>
    </row>
    <row r="179" ht="15.75" customHeight="1">
      <c r="A179" s="5"/>
      <c r="B179" s="8"/>
      <c r="C179" s="10"/>
      <c r="D179" s="10"/>
      <c r="E179" s="9"/>
      <c r="F179" s="9"/>
      <c r="K179" s="10"/>
    </row>
    <row r="180" ht="15.75" customHeight="1">
      <c r="A180" s="5"/>
      <c r="B180" s="8"/>
      <c r="C180" s="10"/>
      <c r="D180" s="10"/>
      <c r="E180" s="9"/>
      <c r="F180" s="9"/>
      <c r="K180" s="10"/>
    </row>
    <row r="181" ht="15.75" customHeight="1">
      <c r="A181" s="5"/>
      <c r="B181" s="8"/>
      <c r="C181" s="10"/>
      <c r="D181" s="10"/>
      <c r="E181" s="9"/>
      <c r="F181" s="9"/>
      <c r="K181" s="10"/>
    </row>
    <row r="182" ht="15.75" customHeight="1">
      <c r="A182" s="5"/>
      <c r="B182" s="8"/>
      <c r="C182" s="10"/>
      <c r="D182" s="10"/>
      <c r="E182" s="9"/>
      <c r="F182" s="9"/>
      <c r="K182" s="10"/>
    </row>
    <row r="183" ht="15.75" customHeight="1">
      <c r="A183" s="5"/>
      <c r="B183" s="8"/>
      <c r="C183" s="10"/>
      <c r="D183" s="10"/>
      <c r="E183" s="9"/>
      <c r="F183" s="9"/>
      <c r="K183" s="10"/>
    </row>
    <row r="184" ht="15.75" customHeight="1">
      <c r="A184" s="5"/>
      <c r="B184" s="8"/>
      <c r="C184" s="10"/>
      <c r="D184" s="10"/>
      <c r="E184" s="9"/>
      <c r="F184" s="9"/>
      <c r="K184" s="10"/>
    </row>
    <row r="185" ht="15.75" customHeight="1">
      <c r="A185" s="5"/>
      <c r="B185" s="8"/>
      <c r="C185" s="10"/>
      <c r="D185" s="10"/>
      <c r="E185" s="9"/>
      <c r="F185" s="9"/>
      <c r="K185" s="10"/>
    </row>
    <row r="186" ht="15.75" customHeight="1">
      <c r="A186" s="5"/>
      <c r="B186" s="8"/>
      <c r="C186" s="10"/>
      <c r="D186" s="10"/>
      <c r="E186" s="9"/>
      <c r="F186" s="9"/>
      <c r="K186" s="10"/>
    </row>
    <row r="187" ht="15.75" customHeight="1">
      <c r="A187" s="5"/>
      <c r="B187" s="8"/>
      <c r="C187" s="10"/>
      <c r="D187" s="10"/>
      <c r="E187" s="9"/>
      <c r="F187" s="9"/>
      <c r="K187" s="10"/>
    </row>
    <row r="188" ht="15.75" customHeight="1">
      <c r="A188" s="5"/>
      <c r="B188" s="8"/>
      <c r="C188" s="10"/>
      <c r="D188" s="10"/>
      <c r="E188" s="9"/>
      <c r="F188" s="9"/>
      <c r="K188" s="10"/>
    </row>
    <row r="189" ht="15.75" customHeight="1">
      <c r="A189" s="5"/>
      <c r="B189" s="8"/>
      <c r="C189" s="10"/>
      <c r="D189" s="10"/>
      <c r="E189" s="9"/>
      <c r="F189" s="9"/>
      <c r="K189" s="10"/>
    </row>
    <row r="190" ht="15.75" customHeight="1">
      <c r="A190" s="5"/>
      <c r="B190" s="8"/>
      <c r="C190" s="10"/>
      <c r="D190" s="10"/>
      <c r="E190" s="9"/>
      <c r="F190" s="9"/>
      <c r="K190" s="10"/>
    </row>
    <row r="191" ht="15.75" customHeight="1">
      <c r="A191" s="5"/>
      <c r="B191" s="8"/>
      <c r="C191" s="10"/>
      <c r="D191" s="10"/>
      <c r="E191" s="9"/>
      <c r="F191" s="9"/>
      <c r="K191" s="10"/>
    </row>
    <row r="192" ht="15.75" customHeight="1">
      <c r="A192" s="5"/>
      <c r="B192" s="8"/>
      <c r="C192" s="10"/>
      <c r="D192" s="10"/>
      <c r="E192" s="9"/>
      <c r="F192" s="9"/>
      <c r="K192" s="10"/>
    </row>
    <row r="193" ht="15.75" customHeight="1">
      <c r="A193" s="5"/>
      <c r="B193" s="8"/>
      <c r="C193" s="10"/>
      <c r="D193" s="10"/>
      <c r="E193" s="9"/>
      <c r="F193" s="9"/>
      <c r="K193" s="10"/>
    </row>
    <row r="194" ht="15.75" customHeight="1">
      <c r="A194" s="5"/>
      <c r="B194" s="8"/>
      <c r="C194" s="10"/>
      <c r="D194" s="10"/>
      <c r="E194" s="9"/>
      <c r="F194" s="9"/>
      <c r="K194" s="10"/>
    </row>
    <row r="195" ht="15.75" customHeight="1">
      <c r="A195" s="5"/>
      <c r="B195" s="8"/>
      <c r="C195" s="10"/>
      <c r="D195" s="10"/>
      <c r="E195" s="9"/>
      <c r="F195" s="9"/>
      <c r="K195" s="10"/>
    </row>
    <row r="196" ht="15.75" customHeight="1">
      <c r="A196" s="5"/>
      <c r="B196" s="8"/>
      <c r="C196" s="10"/>
      <c r="D196" s="10"/>
      <c r="E196" s="9"/>
      <c r="F196" s="9"/>
      <c r="K196" s="10"/>
    </row>
    <row r="197" ht="15.75" customHeight="1">
      <c r="A197" s="5"/>
      <c r="B197" s="8"/>
      <c r="C197" s="10"/>
      <c r="D197" s="10"/>
      <c r="E197" s="9"/>
      <c r="F197" s="9"/>
      <c r="K197" s="10"/>
    </row>
    <row r="198" ht="15.75" customHeight="1">
      <c r="A198" s="5"/>
      <c r="B198" s="8"/>
      <c r="C198" s="10"/>
      <c r="D198" s="10"/>
      <c r="E198" s="9"/>
      <c r="F198" s="9"/>
      <c r="K198" s="10"/>
    </row>
    <row r="199" ht="15.75" customHeight="1">
      <c r="A199" s="5"/>
      <c r="B199" s="8"/>
      <c r="C199" s="10"/>
      <c r="D199" s="10"/>
      <c r="E199" s="9"/>
      <c r="F199" s="9"/>
      <c r="K199" s="10"/>
    </row>
    <row r="200" ht="15.75" customHeight="1">
      <c r="A200" s="5"/>
      <c r="B200" s="8"/>
      <c r="C200" s="10"/>
      <c r="D200" s="10"/>
      <c r="E200" s="9"/>
      <c r="F200" s="9"/>
      <c r="K200" s="10"/>
    </row>
    <row r="201" ht="15.75" customHeight="1">
      <c r="A201" s="5"/>
      <c r="B201" s="8"/>
      <c r="C201" s="10"/>
      <c r="D201" s="10"/>
      <c r="E201" s="9"/>
      <c r="F201" s="9"/>
      <c r="K201" s="10"/>
    </row>
    <row r="202" ht="15.75" customHeight="1">
      <c r="A202" s="5"/>
      <c r="B202" s="8"/>
      <c r="C202" s="10"/>
      <c r="D202" s="10"/>
      <c r="E202" s="9"/>
      <c r="F202" s="9"/>
      <c r="K202" s="10"/>
    </row>
    <row r="203" ht="15.75" customHeight="1">
      <c r="A203" s="5"/>
      <c r="B203" s="8"/>
      <c r="C203" s="10"/>
      <c r="D203" s="10"/>
      <c r="E203" s="9"/>
      <c r="F203" s="9"/>
      <c r="K203" s="10"/>
    </row>
    <row r="204" ht="15.75" customHeight="1">
      <c r="A204" s="5"/>
      <c r="B204" s="8"/>
      <c r="C204" s="10"/>
      <c r="D204" s="10"/>
      <c r="E204" s="9"/>
      <c r="F204" s="9"/>
      <c r="K204" s="10"/>
    </row>
    <row r="205" ht="15.75" customHeight="1">
      <c r="A205" s="5"/>
      <c r="B205" s="8"/>
      <c r="C205" s="10"/>
      <c r="D205" s="10"/>
      <c r="E205" s="9"/>
      <c r="F205" s="9"/>
      <c r="K205" s="10"/>
    </row>
    <row r="206" ht="15.75" customHeight="1">
      <c r="A206" s="5"/>
      <c r="B206" s="8"/>
      <c r="C206" s="10"/>
      <c r="D206" s="10"/>
      <c r="E206" s="9"/>
      <c r="F206" s="9"/>
      <c r="K206" s="10"/>
    </row>
    <row r="207" ht="15.75" customHeight="1">
      <c r="A207" s="5"/>
      <c r="B207" s="8"/>
      <c r="C207" s="10"/>
      <c r="D207" s="10"/>
      <c r="E207" s="9"/>
      <c r="F207" s="9"/>
      <c r="K207" s="10"/>
    </row>
    <row r="208" ht="15.75" customHeight="1">
      <c r="A208" s="5"/>
      <c r="B208" s="8"/>
      <c r="C208" s="10"/>
      <c r="D208" s="10"/>
      <c r="E208" s="9"/>
      <c r="F208" s="9"/>
      <c r="K208" s="10"/>
    </row>
    <row r="209" ht="15.75" customHeight="1">
      <c r="A209" s="5"/>
      <c r="B209" s="8"/>
      <c r="C209" s="10"/>
      <c r="D209" s="10"/>
      <c r="E209" s="9"/>
      <c r="F209" s="9"/>
      <c r="K209" s="10"/>
    </row>
    <row r="210" ht="15.75" customHeight="1">
      <c r="A210" s="5"/>
      <c r="B210" s="8"/>
      <c r="C210" s="10"/>
      <c r="D210" s="10"/>
      <c r="E210" s="9"/>
      <c r="F210" s="9"/>
      <c r="K210" s="10"/>
    </row>
    <row r="211" ht="15.75" customHeight="1">
      <c r="A211" s="5"/>
      <c r="B211" s="8"/>
      <c r="C211" s="10"/>
      <c r="D211" s="10"/>
      <c r="E211" s="9"/>
      <c r="F211" s="9"/>
      <c r="K211" s="10"/>
    </row>
    <row r="212" ht="15.75" customHeight="1">
      <c r="A212" s="5"/>
      <c r="B212" s="8"/>
      <c r="C212" s="10"/>
      <c r="D212" s="10"/>
      <c r="E212" s="9"/>
      <c r="F212" s="9"/>
      <c r="K212" s="10"/>
    </row>
    <row r="213" ht="15.75" customHeight="1">
      <c r="A213" s="5"/>
      <c r="B213" s="8"/>
      <c r="C213" s="10"/>
      <c r="D213" s="10"/>
      <c r="E213" s="9"/>
      <c r="F213" s="9"/>
      <c r="K213" s="10"/>
    </row>
    <row r="214" ht="15.75" customHeight="1">
      <c r="A214" s="5"/>
      <c r="B214" s="8"/>
      <c r="C214" s="10"/>
      <c r="D214" s="10"/>
      <c r="E214" s="9"/>
      <c r="F214" s="9"/>
      <c r="K214" s="10"/>
    </row>
    <row r="215" ht="15.75" customHeight="1">
      <c r="A215" s="5"/>
      <c r="B215" s="8"/>
      <c r="C215" s="10"/>
      <c r="D215" s="10"/>
      <c r="E215" s="9"/>
      <c r="F215" s="9"/>
      <c r="K215" s="10"/>
    </row>
    <row r="216" ht="15.75" customHeight="1">
      <c r="A216" s="5"/>
      <c r="B216" s="8"/>
      <c r="C216" s="10"/>
      <c r="D216" s="10"/>
      <c r="E216" s="9"/>
      <c r="F216" s="9"/>
      <c r="K216" s="10"/>
    </row>
    <row r="217" ht="15.75" customHeight="1">
      <c r="A217" s="5"/>
      <c r="B217" s="8"/>
      <c r="C217" s="10"/>
      <c r="D217" s="10"/>
      <c r="E217" s="9"/>
      <c r="F217" s="9"/>
      <c r="K217" s="10"/>
    </row>
    <row r="218" ht="15.75" customHeight="1">
      <c r="A218" s="5"/>
      <c r="B218" s="8"/>
      <c r="C218" s="10"/>
      <c r="D218" s="10"/>
      <c r="E218" s="9"/>
      <c r="F218" s="9"/>
      <c r="K218" s="10"/>
    </row>
    <row r="219" ht="15.75" customHeight="1">
      <c r="A219" s="5"/>
      <c r="B219" s="8"/>
      <c r="C219" s="10"/>
      <c r="D219" s="10"/>
      <c r="E219" s="9"/>
      <c r="F219" s="9"/>
      <c r="K219" s="10"/>
    </row>
    <row r="220" ht="15.75" customHeight="1">
      <c r="A220" s="5"/>
      <c r="B220" s="8"/>
      <c r="C220" s="10"/>
      <c r="D220" s="10"/>
      <c r="E220" s="9"/>
      <c r="F220" s="9"/>
      <c r="K220" s="10"/>
    </row>
    <row r="221" ht="15.75" customHeight="1">
      <c r="A221" s="5"/>
      <c r="B221" s="8"/>
      <c r="C221" s="10"/>
      <c r="D221" s="10"/>
      <c r="E221" s="9"/>
      <c r="F221" s="9"/>
      <c r="K221" s="10"/>
    </row>
    <row r="222" ht="15.75" customHeight="1">
      <c r="A222" s="5"/>
      <c r="B222" s="8"/>
      <c r="C222" s="10"/>
      <c r="D222" s="10"/>
      <c r="E222" s="9"/>
      <c r="F222" s="9"/>
      <c r="K222" s="10"/>
    </row>
    <row r="223" ht="15.75" customHeight="1">
      <c r="A223" s="5"/>
      <c r="B223" s="8"/>
      <c r="C223" s="10"/>
      <c r="D223" s="10"/>
      <c r="E223" s="9"/>
      <c r="F223" s="9"/>
      <c r="K223" s="10"/>
    </row>
    <row r="224" ht="15.75" customHeight="1">
      <c r="A224" s="5"/>
      <c r="B224" s="8"/>
      <c r="C224" s="10"/>
      <c r="D224" s="10"/>
      <c r="E224" s="9"/>
      <c r="F224" s="9"/>
      <c r="K224" s="10"/>
    </row>
    <row r="225" ht="15.75" customHeight="1">
      <c r="A225" s="5"/>
      <c r="B225" s="8"/>
      <c r="C225" s="10"/>
      <c r="D225" s="10"/>
      <c r="E225" s="9"/>
      <c r="F225" s="9"/>
      <c r="K225" s="10"/>
    </row>
    <row r="226" ht="15.75" customHeight="1">
      <c r="A226" s="5"/>
      <c r="B226" s="8"/>
      <c r="C226" s="10"/>
      <c r="D226" s="10"/>
      <c r="E226" s="9"/>
      <c r="F226" s="9"/>
      <c r="K226" s="10"/>
    </row>
    <row r="227" ht="15.75" customHeight="1">
      <c r="A227" s="5"/>
      <c r="B227" s="8"/>
      <c r="C227" s="10"/>
      <c r="D227" s="10"/>
      <c r="E227" s="9"/>
      <c r="F227" s="9"/>
      <c r="K227" s="10"/>
    </row>
    <row r="228" ht="15.75" customHeight="1">
      <c r="A228" s="5"/>
      <c r="B228" s="8"/>
      <c r="C228" s="10"/>
      <c r="D228" s="10"/>
      <c r="E228" s="9"/>
      <c r="F228" s="9"/>
      <c r="K228" s="10"/>
    </row>
    <row r="229" ht="15.75" customHeight="1">
      <c r="A229" s="5"/>
      <c r="B229" s="8"/>
      <c r="C229" s="10"/>
      <c r="D229" s="10"/>
      <c r="E229" s="9"/>
      <c r="F229" s="9"/>
      <c r="K229" s="10"/>
    </row>
    <row r="230" ht="15.75" customHeight="1">
      <c r="A230" s="5"/>
      <c r="B230" s="8"/>
      <c r="C230" s="10"/>
      <c r="D230" s="10"/>
      <c r="E230" s="9"/>
      <c r="F230" s="9"/>
      <c r="K230" s="10"/>
    </row>
    <row r="231" ht="15.75" customHeight="1">
      <c r="A231" s="5"/>
      <c r="B231" s="8"/>
      <c r="C231" s="10"/>
      <c r="D231" s="10"/>
      <c r="E231" s="9"/>
      <c r="F231" s="9"/>
      <c r="K231" s="10"/>
    </row>
    <row r="232" ht="15.75" customHeight="1">
      <c r="A232" s="5"/>
      <c r="B232" s="8"/>
      <c r="C232" s="10"/>
      <c r="D232" s="10"/>
      <c r="E232" s="9"/>
      <c r="F232" s="9"/>
      <c r="K232" s="10"/>
    </row>
    <row r="233" ht="15.75" customHeight="1">
      <c r="A233" s="5"/>
      <c r="B233" s="8"/>
      <c r="C233" s="10"/>
      <c r="D233" s="10"/>
      <c r="E233" s="9"/>
      <c r="F233" s="9"/>
      <c r="K233" s="10"/>
    </row>
    <row r="234" ht="15.75" customHeight="1">
      <c r="A234" s="5"/>
      <c r="B234" s="8"/>
      <c r="C234" s="10"/>
      <c r="D234" s="10"/>
      <c r="E234" s="9"/>
      <c r="F234" s="9"/>
      <c r="K234" s="10"/>
    </row>
    <row r="235" ht="15.75" customHeight="1">
      <c r="A235" s="5"/>
      <c r="B235" s="8"/>
      <c r="C235" s="10"/>
      <c r="D235" s="10"/>
      <c r="E235" s="9"/>
      <c r="F235" s="9"/>
      <c r="K235" s="10"/>
    </row>
    <row r="236" ht="15.75" customHeight="1">
      <c r="A236" s="5"/>
      <c r="B236" s="8"/>
      <c r="C236" s="10"/>
      <c r="D236" s="10"/>
      <c r="E236" s="9"/>
      <c r="F236" s="9"/>
      <c r="K236" s="10"/>
    </row>
    <row r="237" ht="15.75" customHeight="1">
      <c r="A237" s="5"/>
      <c r="B237" s="8"/>
      <c r="C237" s="10"/>
      <c r="D237" s="10"/>
      <c r="E237" s="9"/>
      <c r="F237" s="9"/>
      <c r="K237" s="10"/>
    </row>
    <row r="238" ht="15.75" customHeight="1">
      <c r="A238" s="5"/>
      <c r="B238" s="8"/>
      <c r="C238" s="10"/>
      <c r="D238" s="10"/>
      <c r="E238" s="9"/>
      <c r="F238" s="9"/>
      <c r="K238" s="10"/>
    </row>
    <row r="239" ht="15.75" customHeight="1">
      <c r="A239" s="5"/>
      <c r="B239" s="8"/>
      <c r="C239" s="10"/>
      <c r="D239" s="10"/>
      <c r="E239" s="9"/>
      <c r="F239" s="9"/>
      <c r="K239" s="10"/>
    </row>
    <row r="240" ht="15.75" customHeight="1">
      <c r="A240" s="5"/>
      <c r="B240" s="8"/>
      <c r="C240" s="10"/>
      <c r="D240" s="10"/>
      <c r="E240" s="9"/>
      <c r="F240" s="9"/>
      <c r="K240" s="10"/>
    </row>
    <row r="241" ht="15.75" customHeight="1">
      <c r="A241" s="5"/>
      <c r="B241" s="8"/>
      <c r="C241" s="10"/>
      <c r="D241" s="10"/>
      <c r="E241" s="9"/>
      <c r="F241" s="9"/>
      <c r="K241" s="10"/>
    </row>
    <row r="242" ht="15.75" customHeight="1">
      <c r="A242" s="5"/>
      <c r="B242" s="8"/>
      <c r="C242" s="10"/>
      <c r="D242" s="10"/>
      <c r="E242" s="9"/>
      <c r="F242" s="9"/>
      <c r="K242" s="10"/>
    </row>
    <row r="243" ht="15.75" customHeight="1">
      <c r="A243" s="5"/>
      <c r="B243" s="8"/>
      <c r="C243" s="10"/>
      <c r="D243" s="10"/>
      <c r="E243" s="9"/>
      <c r="F243" s="9"/>
      <c r="K243" s="10"/>
    </row>
    <row r="244" ht="15.75" customHeight="1">
      <c r="A244" s="5"/>
      <c r="B244" s="8"/>
      <c r="C244" s="10"/>
      <c r="D244" s="10"/>
      <c r="E244" s="9"/>
      <c r="F244" s="9"/>
      <c r="K244" s="10"/>
    </row>
    <row r="245" ht="15.75" customHeight="1">
      <c r="A245" s="5"/>
      <c r="B245" s="8"/>
      <c r="C245" s="10"/>
      <c r="D245" s="10"/>
      <c r="E245" s="9"/>
      <c r="F245" s="9"/>
      <c r="K245" s="10"/>
    </row>
    <row r="246" ht="15.75" customHeight="1">
      <c r="A246" s="5"/>
      <c r="B246" s="8"/>
      <c r="C246" s="10"/>
      <c r="D246" s="10"/>
      <c r="E246" s="9"/>
      <c r="F246" s="9"/>
      <c r="K246" s="10"/>
    </row>
    <row r="247" ht="15.75" customHeight="1">
      <c r="A247" s="5"/>
      <c r="B247" s="8"/>
      <c r="C247" s="10"/>
      <c r="D247" s="10"/>
      <c r="E247" s="9"/>
      <c r="F247" s="9"/>
      <c r="K247" s="10"/>
    </row>
    <row r="248" ht="15.75" customHeight="1">
      <c r="A248" s="5"/>
      <c r="B248" s="8"/>
      <c r="C248" s="10"/>
      <c r="D248" s="10"/>
      <c r="E248" s="9"/>
      <c r="F248" s="9"/>
      <c r="K248" s="10"/>
    </row>
    <row r="249" ht="15.75" customHeight="1">
      <c r="A249" s="5"/>
      <c r="B249" s="8"/>
      <c r="C249" s="10"/>
      <c r="D249" s="10"/>
      <c r="E249" s="9"/>
      <c r="F249" s="9"/>
      <c r="K249" s="10"/>
    </row>
    <row r="250" ht="15.75" customHeight="1">
      <c r="A250" s="5"/>
      <c r="B250" s="8"/>
      <c r="C250" s="10"/>
      <c r="D250" s="10"/>
      <c r="E250" s="9"/>
      <c r="F250" s="9"/>
      <c r="K250" s="10"/>
    </row>
    <row r="251" ht="15.75" customHeight="1">
      <c r="A251" s="5"/>
      <c r="B251" s="8"/>
      <c r="C251" s="10"/>
      <c r="D251" s="10"/>
      <c r="E251" s="9"/>
      <c r="F251" s="9"/>
      <c r="K251" s="10"/>
    </row>
    <row r="252" ht="15.75" customHeight="1">
      <c r="A252" s="5"/>
      <c r="B252" s="8"/>
      <c r="C252" s="10"/>
      <c r="D252" s="10"/>
      <c r="E252" s="9"/>
      <c r="F252" s="9"/>
      <c r="K252" s="10"/>
    </row>
    <row r="253" ht="15.75" customHeight="1">
      <c r="A253" s="5"/>
      <c r="B253" s="8"/>
      <c r="C253" s="10"/>
      <c r="D253" s="10"/>
      <c r="E253" s="9"/>
      <c r="F253" s="9"/>
      <c r="K253" s="10"/>
    </row>
    <row r="254" ht="15.75" customHeight="1">
      <c r="A254" s="5"/>
      <c r="B254" s="8"/>
      <c r="C254" s="10"/>
      <c r="D254" s="10"/>
      <c r="E254" s="9"/>
      <c r="F254" s="9"/>
      <c r="K254" s="10"/>
    </row>
    <row r="255" ht="15.75" customHeight="1">
      <c r="A255" s="5"/>
      <c r="B255" s="8"/>
      <c r="C255" s="10"/>
      <c r="D255" s="10"/>
      <c r="E255" s="9"/>
      <c r="F255" s="9"/>
      <c r="K255" s="10"/>
    </row>
    <row r="256" ht="15.75" customHeight="1">
      <c r="A256" s="5"/>
      <c r="B256" s="8"/>
      <c r="C256" s="10"/>
      <c r="D256" s="10"/>
      <c r="E256" s="9"/>
      <c r="F256" s="9"/>
      <c r="K256" s="10"/>
    </row>
    <row r="257" ht="15.75" customHeight="1">
      <c r="A257" s="5"/>
      <c r="B257" s="8"/>
      <c r="C257" s="10"/>
      <c r="D257" s="10"/>
      <c r="E257" s="9"/>
      <c r="F257" s="9"/>
      <c r="K257" s="10"/>
    </row>
    <row r="258" ht="15.75" customHeight="1">
      <c r="A258" s="5"/>
      <c r="B258" s="8"/>
      <c r="C258" s="10"/>
      <c r="D258" s="10"/>
      <c r="E258" s="9"/>
      <c r="F258" s="9"/>
      <c r="K258" s="10"/>
    </row>
    <row r="259" ht="15.75" customHeight="1">
      <c r="A259" s="5"/>
      <c r="B259" s="8"/>
      <c r="C259" s="10"/>
      <c r="D259" s="10"/>
      <c r="E259" s="9"/>
      <c r="F259" s="9"/>
      <c r="K259" s="10"/>
    </row>
    <row r="260" ht="15.75" customHeight="1">
      <c r="A260" s="5"/>
      <c r="B260" s="8"/>
      <c r="C260" s="10"/>
      <c r="D260" s="10"/>
      <c r="E260" s="9"/>
      <c r="F260" s="9"/>
      <c r="K260" s="10"/>
    </row>
    <row r="261" ht="15.75" customHeight="1">
      <c r="A261" s="5"/>
      <c r="B261" s="8"/>
      <c r="C261" s="10"/>
      <c r="D261" s="10"/>
      <c r="E261" s="9"/>
      <c r="F261" s="9"/>
      <c r="K261" s="10"/>
    </row>
    <row r="262" ht="15.75" customHeight="1">
      <c r="A262" s="5"/>
      <c r="B262" s="8"/>
      <c r="C262" s="10"/>
      <c r="D262" s="10"/>
      <c r="E262" s="9"/>
      <c r="F262" s="9"/>
      <c r="K262" s="10"/>
    </row>
    <row r="263" ht="15.75" customHeight="1">
      <c r="A263" s="5"/>
      <c r="B263" s="8"/>
      <c r="C263" s="10"/>
      <c r="D263" s="10"/>
      <c r="E263" s="9"/>
      <c r="F263" s="9"/>
      <c r="K263" s="10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7.63"/>
    <col customWidth="1" min="3" max="3" width="11.38"/>
    <col customWidth="1" min="4" max="4" width="8.0"/>
    <col customWidth="1" min="5" max="5" width="10.13"/>
    <col customWidth="1" min="6" max="6" width="8.63"/>
    <col customWidth="1" min="7" max="7" width="12.25"/>
    <col customWidth="1" min="8" max="8" width="8.38"/>
    <col customWidth="1" min="9" max="9" width="10.13"/>
    <col customWidth="1" min="10" max="10" width="10.75"/>
    <col customWidth="1" min="11" max="12" width="11.63"/>
    <col customWidth="1" min="13" max="13" width="12.13"/>
    <col customWidth="1" min="14" max="14" width="10.13"/>
    <col customWidth="1" min="15" max="15" width="8.0"/>
    <col customWidth="1" min="16" max="16" width="12.63"/>
    <col customWidth="1" min="17" max="17" width="11.63"/>
    <col customWidth="1" min="18" max="18" width="11.5"/>
    <col customWidth="1" min="19" max="19" width="10.13"/>
    <col customWidth="1" min="20" max="21" width="11.63"/>
    <col customWidth="1" min="23" max="23" width="12.25"/>
    <col customWidth="1" min="24" max="24" width="9.63"/>
    <col customWidth="1" min="25" max="25" width="7.25"/>
    <col customWidth="1" min="26" max="26" width="11.63"/>
  </cols>
  <sheetData>
    <row r="1" ht="15.75" customHeight="1">
      <c r="A1" s="1" t="s">
        <v>0</v>
      </c>
      <c r="B1" s="2" t="s">
        <v>3</v>
      </c>
      <c r="C1" s="2" t="s">
        <v>5</v>
      </c>
      <c r="D1" s="2" t="s">
        <v>8</v>
      </c>
      <c r="E1" s="2" t="s">
        <v>10</v>
      </c>
      <c r="F1" s="2" t="s">
        <v>14</v>
      </c>
      <c r="G1" s="2" t="s">
        <v>18</v>
      </c>
      <c r="H1" s="2" t="s">
        <v>20</v>
      </c>
      <c r="I1" s="2" t="s">
        <v>22</v>
      </c>
      <c r="J1" s="2" t="s">
        <v>24</v>
      </c>
      <c r="K1" s="2" t="s">
        <v>25</v>
      </c>
      <c r="L1" s="2" t="s">
        <v>27</v>
      </c>
      <c r="M1" s="2" t="s">
        <v>29</v>
      </c>
      <c r="N1" s="2" t="s">
        <v>31</v>
      </c>
      <c r="O1" s="2" t="s">
        <v>32</v>
      </c>
      <c r="P1" s="2" t="s">
        <v>33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</row>
    <row r="2" ht="15.75" customHeight="1">
      <c r="A2" s="7">
        <v>2026.0</v>
      </c>
      <c r="B2" s="9">
        <f>'Outside Income'!D2 * 0.85</f>
        <v>27268</v>
      </c>
      <c r="C2" s="9">
        <f>'Outside Income'!E2</f>
        <v>28258</v>
      </c>
      <c r="D2" s="9">
        <f>IF('Capital Gains'!G2&lt;=0, 0, 'Outside Income'!G2)</f>
        <v>48872</v>
      </c>
      <c r="E2" s="9">
        <f>'Inherited and Roth IRA'!K2</f>
        <v>200000</v>
      </c>
      <c r="F2" s="9">
        <f>IF('Capital Gains'!F2&lt;=0, 0, MIN(MAX(0, 'Schedule A'!P2 - D2), 'Capital Gains'!F2))</f>
        <v>38918</v>
      </c>
      <c r="G2" s="9">
        <f t="shared" ref="G2:G31" si="1">B2 + C2 + D2 + E2 + F2</f>
        <v>343316</v>
      </c>
      <c r="H2" s="9">
        <f>MAX(0, MIN(400000, G2 - ((20000 + 'Schedule A'!J2 + 'Schedule A'!K2 + 'Schedule A'!L2 + 'Schedule A'!Q2 + 'Schedule A'!C2 - 0.075 * MAX(0, K2 - F2)) / 1.075)))</f>
        <v>161821.1163</v>
      </c>
      <c r="I2" s="9">
        <f t="shared" ref="I2:I31" si="2">MAX(0, G2 - H2)</f>
        <v>181494.8837</v>
      </c>
      <c r="J2" s="9">
        <f t="shared" ref="J2:J8" si="3">MAX(0, 400000 - G2)</f>
        <v>56684</v>
      </c>
      <c r="K2" s="9">
        <f>IF('Capital Gains'!G2&lt;=0, 0, MAX(0, 'Capital Gains'!F2 - F2))</f>
        <v>274598</v>
      </c>
      <c r="L2" s="9">
        <f>IF('Capital Gains'!G2&lt;=0, 0, MAX(0, K2 - J2))</f>
        <v>217914</v>
      </c>
      <c r="M2" s="9">
        <f t="shared" ref="M2:M31" si="4">I2 + L2</f>
        <v>399408.8837</v>
      </c>
      <c r="N2" s="9">
        <f>'Schedule A'!M2</f>
        <v>162827.3337</v>
      </c>
      <c r="O2" s="9">
        <f t="shared" ref="O2:O31" si="5">MAX(0, I2 - N2)</f>
        <v>18667.55</v>
      </c>
      <c r="P2" s="9">
        <f>IF(O2&lt;=0, 0, IF(O2&lt;=Assumptions!$B$30, O2*Assumptions!$C$29, IF(O2&lt;=Assumptions!$B$31, Assumptions!$D$30 + (O2-Assumptions!$B$30)*Assumptions!$C$30, IF(O2&lt;=Assumptions!$B$32, Assumptions!$D$31 + (O2-Assumptions!$B$31)*Assumptions!$C$31, IF(O2&lt;=Assumptions!$B$33, Assumptions!$D$32 + (O2-Assumptions!$B$32)*Assumptions!$C$32, IF(O2&lt;=Assumptions!$B$34, Assumptions!$D$33 + (O2-Assumptions!$B$33)*Assumptions!$C$33, IF(O2&lt;=Assumptions!$B$35, Assumptions!$D$34 + (O2-Assumptions!$B$34)*Assumptions!$C$34, Assumptions!$D$35 + (O2-Assumptions!$B$35)*Assumptions!$C$35)))))))</f>
        <v>1866.755</v>
      </c>
      <c r="Q2" s="9">
        <f t="shared" ref="Q2:Q31" si="6">L2</f>
        <v>217914</v>
      </c>
      <c r="R2" s="9">
        <f>IF('Capital Gains'!G2&lt;=0, 0, MIN('Schedule A'!R2, L2))</f>
        <v>0</v>
      </c>
      <c r="S2" s="9">
        <f t="shared" ref="S2:S31" si="7">MAX(0, N2 - I2)</f>
        <v>0</v>
      </c>
      <c r="T2" s="9">
        <f>IF('Capital Gains'!G2&lt;=0, 0, MAX(0, L2 - S2))</f>
        <v>217914</v>
      </c>
      <c r="U2" s="9">
        <f>IF(T2&lt;=0, 0, IF((O2+T2)&lt;=Assumptions!$B$46, 0, IF(O2&gt;=Assumptions!$B$46, T2*Assumptions!$C$46, (O2+T2-Assumptions!$B$46)*Assumptions!$C$46)))</f>
        <v>0</v>
      </c>
      <c r="V2" s="9">
        <f t="shared" ref="V2:V31" si="8">IF(M2&lt;=250000, 0, 0.038 * MIN(M2 - 250000, D2 + T2))</f>
        <v>5677.537581</v>
      </c>
      <c r="W2" s="9">
        <f t="shared" ref="W2:W31" si="9">P2 + U2 + V2</f>
        <v>7544.292581</v>
      </c>
      <c r="X2" s="9">
        <f>C2 + D2 + E2 + 'Capital Gains'!F2</f>
        <v>590646</v>
      </c>
      <c r="Y2" s="9">
        <f>IF(MAX(0, X2 - 20500)&lt;=0, 0, IF(MAX(0, X2 - 20500)&lt;=Assumptions!$B$20, MAX(0, X2 - 20500)*Assumptions!$C$19, IF(MAX(0, X2 - 20500)&lt;=Assumptions!$B$21, Assumptions!$D$20 + (MAX(0, X2 - 20500)-Assumptions!$B$20)*Assumptions!$C$20, IF(MAX(0, X2 - 20500)&lt;=Assumptions!$B$22, Assumptions!$D$21 + (MAX(0, X2 - 20500)-Assumptions!$B$21)*Assumptions!$C$21, IF(MAX(0, X2 - 20500)&lt;=Assumptions!$B$23, Assumptions!$D$22 + (MAX(0, X2 - 20500)-Assumptions!$B$22)*Assumptions!$C$22, IF(MAX(0, X2 - 20500)&lt;=Assumptions!$B$24, Assumptions!$D$23 + (MAX(0, X2 - 20500)-Assumptions!$B$23)*Assumptions!$C$23, IF(MAX(0, X2 - 20500)&lt;=Assumptions!$B$25, Assumptions!$D$24 + (MAX(0, X2 - 20500)-Assumptions!$B$25)*Assumptions!$C$24, Assumptions!$D$25 + (MAX(0, X2 - 20500)-Assumptions!$B$25)*Assumptions!$C$25)))))))</f>
        <v>32275.8002</v>
      </c>
      <c r="Z2" s="9">
        <f t="shared" ref="Z2:Z31" si="10">W2 + Y2</f>
        <v>39820.09278</v>
      </c>
      <c r="AA2" s="9">
        <f>H2 + MIN(J2, 'Capital Gains'!F2)</f>
        <v>218505.1163</v>
      </c>
    </row>
    <row r="3" ht="15.75" customHeight="1">
      <c r="A3" s="7">
        <v>2027.0</v>
      </c>
      <c r="B3" s="9">
        <f>'Outside Income'!D3 * 0.85</f>
        <v>42840</v>
      </c>
      <c r="C3" s="9">
        <f>'Outside Income'!E3</f>
        <v>33717.13315</v>
      </c>
      <c r="D3" s="9">
        <f>IF('Capital Gains'!G3&lt;=0, 0, 'Outside Income'!G3)</f>
        <v>17049.30522</v>
      </c>
      <c r="E3" s="9">
        <f>'Inherited and Roth IRA'!K3</f>
        <v>200000</v>
      </c>
      <c r="F3" s="9">
        <f>IF('Capital Gains'!F3&lt;=0, 0, MIN(MAX(0, 'Schedule A'!P3 - D3), 'Capital Gains'!F3))</f>
        <v>59573.49074</v>
      </c>
      <c r="G3" s="9">
        <f t="shared" si="1"/>
        <v>353179.9291</v>
      </c>
      <c r="H3" s="9">
        <f>MAX(0, MIN(400000, G3 - ((20000 + 'Schedule A'!J3 + 'Schedule A'!K3 + 'Schedule A'!L3 + 'Schedule A'!Q3 + 'Schedule A'!C3 - 0.075 * MAX(0, K3 - F3)) / 1.075)))</f>
        <v>165630.3515</v>
      </c>
      <c r="I3" s="9">
        <f t="shared" si="2"/>
        <v>187549.5776</v>
      </c>
      <c r="J3" s="9">
        <f t="shared" si="3"/>
        <v>46820.07089</v>
      </c>
      <c r="K3" s="9">
        <f>IF('Capital Gains'!G3&lt;=0, 0, MAX(0, 'Capital Gains'!F3 - F3))</f>
        <v>0</v>
      </c>
      <c r="L3" s="9">
        <f>IF('Capital Gains'!G3&lt;=0, 0, MAX(0, K3 - J3))</f>
        <v>0</v>
      </c>
      <c r="M3" s="9">
        <f t="shared" si="4"/>
        <v>187549.5776</v>
      </c>
      <c r="N3" s="9">
        <f>'Schedule A'!M3</f>
        <v>167549.5776</v>
      </c>
      <c r="O3" s="9">
        <f t="shared" si="5"/>
        <v>20000</v>
      </c>
      <c r="P3" s="9">
        <f>IF(O3&lt;=0, 0, IF(O3&lt;=Assumptions!$B$30, O3*Assumptions!$C$29, IF(O3&lt;=Assumptions!$B$31, Assumptions!$D$30 + (O3-Assumptions!$B$30)*Assumptions!$C$30, IF(O3&lt;=Assumptions!$B$32, Assumptions!$D$31 + (O3-Assumptions!$B$31)*Assumptions!$C$31, IF(O3&lt;=Assumptions!$B$33, Assumptions!$D$32 + (O3-Assumptions!$B$32)*Assumptions!$C$32, IF(O3&lt;=Assumptions!$B$34, Assumptions!$D$33 + (O3-Assumptions!$B$33)*Assumptions!$C$33, IF(O3&lt;=Assumptions!$B$35, Assumptions!$D$34 + (O3-Assumptions!$B$34)*Assumptions!$C$34, Assumptions!$D$35 + (O3-Assumptions!$B$35)*Assumptions!$C$35)))))))</f>
        <v>2000</v>
      </c>
      <c r="Q3" s="9">
        <f t="shared" si="6"/>
        <v>0</v>
      </c>
      <c r="R3" s="9">
        <f>IF('Capital Gains'!G3&lt;=0, 0, MIN('Schedule A'!R3, L3))</f>
        <v>0</v>
      </c>
      <c r="S3" s="9">
        <f t="shared" si="7"/>
        <v>0</v>
      </c>
      <c r="T3" s="9">
        <f>IF('Capital Gains'!G3&lt;=0, 0, MAX(0, L3 - S3))</f>
        <v>0</v>
      </c>
      <c r="U3" s="9">
        <f>IF(T3&lt;=0, 0, IF((O3+T3)&lt;=Assumptions!$B$46, 0, IF(O3&gt;=Assumptions!$B$46, T3*Assumptions!$C$46, (O3+T3-Assumptions!$B$46)*Assumptions!$C$46)))</f>
        <v>0</v>
      </c>
      <c r="V3" s="9">
        <f t="shared" si="8"/>
        <v>0</v>
      </c>
      <c r="W3" s="9">
        <f t="shared" si="9"/>
        <v>2000</v>
      </c>
      <c r="X3" s="9">
        <f>C3 + D3 + E3 + 'Capital Gains'!F3</f>
        <v>310339.9291</v>
      </c>
      <c r="Y3" s="9">
        <f>IF(MAX(0, X3 - 20500)&lt;=0, 0, IF(MAX(0, X3 - 20500)&lt;=Assumptions!$B$20, MAX(0, X3 - 20500)*Assumptions!$C$19, IF(MAX(0, X3 - 20500)&lt;=Assumptions!$B$21, Assumptions!$D$20 + (MAX(0, X3 - 20500)-Assumptions!$B$20)*Assumptions!$C$20, IF(MAX(0, X3 - 20500)&lt;=Assumptions!$B$22, Assumptions!$D$21 + (MAX(0, X3 - 20500)-Assumptions!$B$21)*Assumptions!$C$21, IF(MAX(0, X3 - 20500)&lt;=Assumptions!$B$23, Assumptions!$D$22 + (MAX(0, X3 - 20500)-Assumptions!$B$22)*Assumptions!$C$22, IF(MAX(0, X3 - 20500)&lt;=Assumptions!$B$24, Assumptions!$D$23 + (MAX(0, X3 - 20500)-Assumptions!$B$23)*Assumptions!$C$23, IF(MAX(0, X3 - 20500)&lt;=Assumptions!$B$25, Assumptions!$D$24 + (MAX(0, X3 - 20500)-Assumptions!$B$25)*Assumptions!$C$24, Assumptions!$D$25 + (MAX(0, X3 - 20500)-Assumptions!$B$25)*Assumptions!$C$25)))))))</f>
        <v>14420.30348</v>
      </c>
      <c r="Z3" s="9">
        <f t="shared" si="10"/>
        <v>16420.30348</v>
      </c>
      <c r="AA3" s="9">
        <f>H3 + MIN(J3, 'Capital Gains'!F3)</f>
        <v>212450.4224</v>
      </c>
    </row>
    <row r="4" ht="15.75" customHeight="1">
      <c r="A4" s="7">
        <v>2028.0</v>
      </c>
      <c r="B4" s="9">
        <f>'Outside Income'!D4 * 0.85</f>
        <v>43268.4</v>
      </c>
      <c r="C4" s="9">
        <f>'Outside Income'!E4</f>
        <v>37088.84646</v>
      </c>
      <c r="D4" s="9">
        <f>IF('Capital Gains'!G4&lt;=0, 0, 'Outside Income'!G4)</f>
        <v>16872.89787</v>
      </c>
      <c r="E4" s="9">
        <f>'Inherited and Roth IRA'!K4</f>
        <v>200000</v>
      </c>
      <c r="F4" s="9">
        <f>IF('Capital Gains'!F4&lt;=0, 0, MIN(MAX(0, 'Schedule A'!P4 - D4), 'Capital Gains'!F4))</f>
        <v>99433.9026</v>
      </c>
      <c r="G4" s="9">
        <f t="shared" si="1"/>
        <v>396664.0469</v>
      </c>
      <c r="H4" s="9">
        <f>MAX(0, MIN(400000, G4 - ((20000 + 'Schedule A'!J4 + 'Schedule A'!K4 + 'Schedule A'!L4 + 'Schedule A'!Q4 + 'Schedule A'!C4 - 0.075 * MAX(0, K4 - F4)) / 1.075)))</f>
        <v>172199.1163</v>
      </c>
      <c r="I4" s="9">
        <f t="shared" si="2"/>
        <v>224464.9307</v>
      </c>
      <c r="J4" s="9">
        <f t="shared" si="3"/>
        <v>3335.95306</v>
      </c>
      <c r="K4" s="9">
        <f>IF('Capital Gains'!G4&lt;=0, 0, MAX(0, 'Capital Gains'!F4 - F4))</f>
        <v>0</v>
      </c>
      <c r="L4" s="9">
        <f>IF('Capital Gains'!G4&lt;=0, 0, MAX(0, K4 - J4))</f>
        <v>0</v>
      </c>
      <c r="M4" s="9">
        <f t="shared" si="4"/>
        <v>224464.9307</v>
      </c>
      <c r="N4" s="9">
        <f>'Schedule A'!M4</f>
        <v>204464.9307</v>
      </c>
      <c r="O4" s="9">
        <f t="shared" si="5"/>
        <v>20000</v>
      </c>
      <c r="P4" s="9">
        <f>IF(O4&lt;=0, 0, IF(O4&lt;=Assumptions!$B$30, O4*Assumptions!$C$29, IF(O4&lt;=Assumptions!$B$31, Assumptions!$D$30 + (O4-Assumptions!$B$30)*Assumptions!$C$30, IF(O4&lt;=Assumptions!$B$32, Assumptions!$D$31 + (O4-Assumptions!$B$31)*Assumptions!$C$31, IF(O4&lt;=Assumptions!$B$33, Assumptions!$D$32 + (O4-Assumptions!$B$32)*Assumptions!$C$32, IF(O4&lt;=Assumptions!$B$34, Assumptions!$D$33 + (O4-Assumptions!$B$33)*Assumptions!$C$33, IF(O4&lt;=Assumptions!$B$35, Assumptions!$D$34 + (O4-Assumptions!$B$34)*Assumptions!$C$34, Assumptions!$D$35 + (O4-Assumptions!$B$35)*Assumptions!$C$35)))))))</f>
        <v>2000</v>
      </c>
      <c r="Q4" s="9">
        <f t="shared" si="6"/>
        <v>0</v>
      </c>
      <c r="R4" s="9">
        <f>IF('Capital Gains'!G4&lt;=0, 0, MIN('Schedule A'!R4, L4))</f>
        <v>0</v>
      </c>
      <c r="S4" s="9">
        <f t="shared" si="7"/>
        <v>0</v>
      </c>
      <c r="T4" s="9">
        <f>IF('Capital Gains'!G4&lt;=0, 0, MAX(0, L4 - S4))</f>
        <v>0</v>
      </c>
      <c r="U4" s="9">
        <f>IF(T4&lt;=0, 0, IF((O4+T4)&lt;=Assumptions!$B$46, 0, IF(O4&gt;=Assumptions!$B$46, T4*Assumptions!$C$46, (O4+T4-Assumptions!$B$46)*Assumptions!$C$46)))</f>
        <v>0</v>
      </c>
      <c r="V4" s="9">
        <f t="shared" si="8"/>
        <v>0</v>
      </c>
      <c r="W4" s="9">
        <f t="shared" si="9"/>
        <v>2000</v>
      </c>
      <c r="X4" s="9">
        <f>C4 + D4 + E4 + 'Capital Gains'!F4</f>
        <v>353395.6469</v>
      </c>
      <c r="Y4" s="9">
        <f>IF(MAX(0, X4 - 20500)&lt;=0, 0, IF(MAX(0, X4 - 20500)&lt;=Assumptions!$B$20, MAX(0, X4 - 20500)*Assumptions!$C$19, IF(MAX(0, X4 - 20500)&lt;=Assumptions!$B$21, Assumptions!$D$20 + (MAX(0, X4 - 20500)-Assumptions!$B$20)*Assumptions!$C$20, IF(MAX(0, X4 - 20500)&lt;=Assumptions!$B$22, Assumptions!$D$21 + (MAX(0, X4 - 20500)-Assumptions!$B$21)*Assumptions!$C$21, IF(MAX(0, X4 - 20500)&lt;=Assumptions!$B$23, Assumptions!$D$22 + (MAX(0, X4 - 20500)-Assumptions!$B$22)*Assumptions!$C$22, IF(MAX(0, X4 - 20500)&lt;=Assumptions!$B$24, Assumptions!$D$23 + (MAX(0, X4 - 20500)-Assumptions!$B$23)*Assumptions!$C$23, IF(MAX(0, X4 - 20500)&lt;=Assumptions!$B$25, Assumptions!$D$24 + (MAX(0, X4 - 20500)-Assumptions!$B$25)*Assumptions!$C$24, Assumptions!$D$25 + (MAX(0, X4 - 20500)-Assumptions!$B$25)*Assumptions!$C$25)))))))</f>
        <v>17162.95271</v>
      </c>
      <c r="Z4" s="9">
        <f t="shared" si="10"/>
        <v>19162.95271</v>
      </c>
      <c r="AA4" s="9">
        <f>H4 + MIN(J4, 'Capital Gains'!F4)</f>
        <v>175535.0693</v>
      </c>
    </row>
    <row r="5" ht="15.75" customHeight="1">
      <c r="A5" s="7">
        <v>2029.0</v>
      </c>
      <c r="B5" s="9">
        <f>'Outside Income'!D5 * 0.85</f>
        <v>43701.084</v>
      </c>
      <c r="C5" s="9">
        <f>'Outside Income'!E5</f>
        <v>40797.73111</v>
      </c>
      <c r="D5" s="9">
        <f>IF('Capital Gains'!G5&lt;=0, 0, 'Outside Income'!G5)</f>
        <v>16609.67049</v>
      </c>
      <c r="E5" s="9">
        <f>'Inherited and Roth IRA'!K5</f>
        <v>200000</v>
      </c>
      <c r="F5" s="9">
        <f>IF('Capital Gains'!F5&lt;=0, 0, MIN(MAX(0, 'Schedule A'!P5 - D5), 'Capital Gains'!F5))</f>
        <v>104145.728</v>
      </c>
      <c r="G5" s="9">
        <f t="shared" si="1"/>
        <v>405254.2136</v>
      </c>
      <c r="H5" s="9">
        <f>MAX(0, MIN(400000, G5 - ((20000 + 'Schedule A'!J5 + 'Schedule A'!K5 + 'Schedule A'!L5 + 'Schedule A'!Q5 + 'Schedule A'!C5 - 0.075 * MAX(0, K5 - F5)) / 1.075)))</f>
        <v>176651.0522</v>
      </c>
      <c r="I5" s="9">
        <f t="shared" si="2"/>
        <v>228603.1614</v>
      </c>
      <c r="J5" s="9">
        <f t="shared" si="3"/>
        <v>0</v>
      </c>
      <c r="K5" s="9">
        <f>IF('Capital Gains'!G5&lt;=0, 0, MAX(0, 'Capital Gains'!F5 - F5))</f>
        <v>33743.91003</v>
      </c>
      <c r="L5" s="9">
        <f>IF('Capital Gains'!G5&lt;=0, 0, MAX(0, K5 - J5))</f>
        <v>33743.91003</v>
      </c>
      <c r="M5" s="9">
        <f t="shared" si="4"/>
        <v>262347.0714</v>
      </c>
      <c r="N5" s="9">
        <f>'Schedule A'!M5</f>
        <v>206072.3681</v>
      </c>
      <c r="O5" s="9">
        <f t="shared" si="5"/>
        <v>22530.79325</v>
      </c>
      <c r="P5" s="9">
        <f>IF(O5&lt;=0, 0, IF(O5&lt;=Assumptions!$B$30, O5*Assumptions!$C$29, IF(O5&lt;=Assumptions!$B$31, Assumptions!$D$30 + (O5-Assumptions!$B$30)*Assumptions!$C$30, IF(O5&lt;=Assumptions!$B$32, Assumptions!$D$31 + (O5-Assumptions!$B$31)*Assumptions!$C$31, IF(O5&lt;=Assumptions!$B$33, Assumptions!$D$32 + (O5-Assumptions!$B$32)*Assumptions!$C$32, IF(O5&lt;=Assumptions!$B$34, Assumptions!$D$33 + (O5-Assumptions!$B$33)*Assumptions!$C$33, IF(O5&lt;=Assumptions!$B$35, Assumptions!$D$34 + (O5-Assumptions!$B$34)*Assumptions!$C$34, Assumptions!$D$35 + (O5-Assumptions!$B$35)*Assumptions!$C$35)))))))</f>
        <v>2253.079325</v>
      </c>
      <c r="Q5" s="9">
        <f t="shared" si="6"/>
        <v>33743.91003</v>
      </c>
      <c r="R5" s="9">
        <f>IF('Capital Gains'!G5&lt;=0, 0, MIN('Schedule A'!R5, L5))</f>
        <v>0</v>
      </c>
      <c r="S5" s="9">
        <f t="shared" si="7"/>
        <v>0</v>
      </c>
      <c r="T5" s="9">
        <f>IF('Capital Gains'!G5&lt;=0, 0, MAX(0, L5 - S5))</f>
        <v>33743.91003</v>
      </c>
      <c r="U5" s="9">
        <f>IF(T5&lt;=0, 0, IF((O5+T5)&lt;=Assumptions!$B$46, 0, IF(O5&gt;=Assumptions!$B$46, T5*Assumptions!$C$46, (O5+T5-Assumptions!$B$46)*Assumptions!$C$46)))</f>
        <v>0</v>
      </c>
      <c r="V5" s="9">
        <f t="shared" si="8"/>
        <v>469.1887132</v>
      </c>
      <c r="W5" s="9">
        <f t="shared" si="9"/>
        <v>2722.268038</v>
      </c>
      <c r="X5" s="9">
        <f>C5 + D5 + E5 + 'Capital Gains'!F5</f>
        <v>395297.0396</v>
      </c>
      <c r="Y5" s="9">
        <f>IF(MAX(0, X5 - 20500)&lt;=0, 0, IF(MAX(0, X5 - 20500)&lt;=Assumptions!$B$20, MAX(0, X5 - 20500)*Assumptions!$C$19, IF(MAX(0, X5 - 20500)&lt;=Assumptions!$B$21, Assumptions!$D$20 + (MAX(0, X5 - 20500)-Assumptions!$B$20)*Assumptions!$C$20, IF(MAX(0, X5 - 20500)&lt;=Assumptions!$B$22, Assumptions!$D$21 + (MAX(0, X5 - 20500)-Assumptions!$B$21)*Assumptions!$C$21, IF(MAX(0, X5 - 20500)&lt;=Assumptions!$B$23, Assumptions!$D$22 + (MAX(0, X5 - 20500)-Assumptions!$B$22)*Assumptions!$C$22, IF(MAX(0, X5 - 20500)&lt;=Assumptions!$B$24, Assumptions!$D$23 + (MAX(0, X5 - 20500)-Assumptions!$B$23)*Assumptions!$C$23, IF(MAX(0, X5 - 20500)&lt;=Assumptions!$B$25, Assumptions!$D$24 + (MAX(0, X5 - 20500)-Assumptions!$B$25)*Assumptions!$C$24, Assumptions!$D$25 + (MAX(0, X5 - 20500)-Assumptions!$B$25)*Assumptions!$C$25)))))))</f>
        <v>19832.07142</v>
      </c>
      <c r="Z5" s="9">
        <f t="shared" si="10"/>
        <v>22554.33946</v>
      </c>
      <c r="AA5" s="9">
        <f>H5 + MIN(J5, 'Capital Gains'!F5)</f>
        <v>176651.0522</v>
      </c>
    </row>
    <row r="6" ht="15.75" customHeight="1">
      <c r="A6" s="7">
        <v>2030.0</v>
      </c>
      <c r="B6" s="9">
        <f>'Outside Income'!D6 * 0.85</f>
        <v>44138.09484</v>
      </c>
      <c r="C6" s="9">
        <f>'Outside Income'!E6</f>
        <v>44877.50422</v>
      </c>
      <c r="D6" s="9">
        <f>IF('Capital Gains'!G6&lt;=0, 0, 'Outside Income'!G6)</f>
        <v>16249.12884</v>
      </c>
      <c r="E6" s="9">
        <f>'Inherited and Roth IRA'!K6</f>
        <v>200000</v>
      </c>
      <c r="F6" s="9">
        <f>IF('Capital Gains'!F6&lt;=0, 0, MIN(MAX(0, 'Schedule A'!P6 - D6), 'Capital Gains'!F6))</f>
        <v>107673.6207</v>
      </c>
      <c r="G6" s="9">
        <f t="shared" si="1"/>
        <v>412938.3486</v>
      </c>
      <c r="H6" s="9">
        <f>MAX(0, MIN(400000, G6 - ((20000 + 'Schedule A'!J6 + 'Schedule A'!K6 + 'Schedule A'!L6 + 'Schedule A'!Q6 + 'Schedule A'!C6 - 0.075 * MAX(0, K6 - F6)) / 1.075)))</f>
        <v>181388.8141</v>
      </c>
      <c r="I6" s="9">
        <f t="shared" si="2"/>
        <v>231549.5345</v>
      </c>
      <c r="J6" s="9">
        <f t="shared" si="3"/>
        <v>0</v>
      </c>
      <c r="K6" s="9">
        <f>IF('Capital Gains'!G6&lt;=0, 0, MAX(0, 'Capital Gains'!F6 - F6))</f>
        <v>67339.13831</v>
      </c>
      <c r="L6" s="9">
        <f>IF('Capital Gains'!G6&lt;=0, 0, MAX(0, K6 - J6))</f>
        <v>67339.13831</v>
      </c>
      <c r="M6" s="9">
        <f t="shared" si="4"/>
        <v>298888.6728</v>
      </c>
      <c r="N6" s="9">
        <f>'Schedule A'!M6</f>
        <v>206499.0991</v>
      </c>
      <c r="O6" s="9">
        <f t="shared" si="5"/>
        <v>25050.43537</v>
      </c>
      <c r="P6" s="9">
        <f>IF(O6&lt;=0, 0, IF(O6&lt;=Assumptions!$B$30, O6*Assumptions!$C$29, IF(O6&lt;=Assumptions!$B$31, Assumptions!$D$30 + (O6-Assumptions!$B$30)*Assumptions!$C$30, IF(O6&lt;=Assumptions!$B$32, Assumptions!$D$31 + (O6-Assumptions!$B$31)*Assumptions!$C$31, IF(O6&lt;=Assumptions!$B$33, Assumptions!$D$32 + (O6-Assumptions!$B$32)*Assumptions!$C$32, IF(O6&lt;=Assumptions!$B$34, Assumptions!$D$33 + (O6-Assumptions!$B$33)*Assumptions!$C$33, IF(O6&lt;=Assumptions!$B$35, Assumptions!$D$34 + (O6-Assumptions!$B$34)*Assumptions!$C$34, Assumptions!$D$35 + (O6-Assumptions!$B$35)*Assumptions!$C$35)))))))</f>
        <v>2542.052245</v>
      </c>
      <c r="Q6" s="9">
        <f t="shared" si="6"/>
        <v>67339.13831</v>
      </c>
      <c r="R6" s="9">
        <f>IF('Capital Gains'!G6&lt;=0, 0, MIN('Schedule A'!R6, L6))</f>
        <v>0</v>
      </c>
      <c r="S6" s="9">
        <f t="shared" si="7"/>
        <v>0</v>
      </c>
      <c r="T6" s="9">
        <f>IF('Capital Gains'!G6&lt;=0, 0, MAX(0, L6 - S6))</f>
        <v>67339.13831</v>
      </c>
      <c r="U6" s="9">
        <f>IF(T6&lt;=0, 0, IF((O6+T6)&lt;=Assumptions!$B$46, 0, IF(O6&gt;=Assumptions!$B$46, T6*Assumptions!$C$46, (O6+T6-Assumptions!$B$46)*Assumptions!$C$46)))</f>
        <v>0</v>
      </c>
      <c r="V6" s="9">
        <f t="shared" si="8"/>
        <v>1857.769565</v>
      </c>
      <c r="W6" s="9">
        <f t="shared" si="9"/>
        <v>4399.82181</v>
      </c>
      <c r="X6" s="9">
        <f>C6 + D6 + E6 + 'Capital Gains'!F6</f>
        <v>436139.3921</v>
      </c>
      <c r="Y6" s="9">
        <f>IF(MAX(0, X6 - 20500)&lt;=0, 0, IF(MAX(0, X6 - 20500)&lt;=Assumptions!$B$20, MAX(0, X6 - 20500)*Assumptions!$C$19, IF(MAX(0, X6 - 20500)&lt;=Assumptions!$B$21, Assumptions!$D$20 + (MAX(0, X6 - 20500)-Assumptions!$B$20)*Assumptions!$C$20, IF(MAX(0, X6 - 20500)&lt;=Assumptions!$B$22, Assumptions!$D$21 + (MAX(0, X6 - 20500)-Assumptions!$B$21)*Assumptions!$C$21, IF(MAX(0, X6 - 20500)&lt;=Assumptions!$B$23, Assumptions!$D$22 + (MAX(0, X6 - 20500)-Assumptions!$B$22)*Assumptions!$C$22, IF(MAX(0, X6 - 20500)&lt;=Assumptions!$B$24, Assumptions!$D$23 + (MAX(0, X6 - 20500)-Assumptions!$B$23)*Assumptions!$C$23, IF(MAX(0, X6 - 20500)&lt;=Assumptions!$B$25, Assumptions!$D$24 + (MAX(0, X6 - 20500)-Assumptions!$B$25)*Assumptions!$C$24, Assumptions!$D$25 + (MAX(0, X6 - 20500)-Assumptions!$B$25)*Assumptions!$C$25)))))))</f>
        <v>22433.72927</v>
      </c>
      <c r="Z6" s="9">
        <f t="shared" si="10"/>
        <v>26833.55108</v>
      </c>
      <c r="AA6" s="9">
        <f>H6 + MIN(J6, 'Capital Gains'!F6)</f>
        <v>181388.8141</v>
      </c>
    </row>
    <row r="7" ht="15.75" customHeight="1">
      <c r="A7" s="7">
        <v>2031.0</v>
      </c>
      <c r="B7" s="9">
        <f>'Outside Income'!D7 * 0.85</f>
        <v>44579.47579</v>
      </c>
      <c r="C7" s="9">
        <f>'Outside Income'!E7</f>
        <v>49365.25464</v>
      </c>
      <c r="D7" s="9">
        <f>IF('Capital Gains'!G7&lt;=0, 0, 'Outside Income'!G7)</f>
        <v>15779.70814</v>
      </c>
      <c r="E7" s="9">
        <f>'Inherited and Roth IRA'!K7</f>
        <v>200000</v>
      </c>
      <c r="F7" s="9">
        <f>IF('Capital Gains'!F7&lt;=0, 0, MIN(MAX(0, 'Schedule A'!P7 - D7), 'Capital Gains'!F7))</f>
        <v>119296.0889</v>
      </c>
      <c r="G7" s="9">
        <f t="shared" si="1"/>
        <v>429020.5274</v>
      </c>
      <c r="H7" s="9">
        <f>MAX(0, MIN(400000, G7 - ((20000 + 'Schedule A'!J7 + 'Schedule A'!K7 + 'Schedule A'!L7 + 'Schedule A'!Q7 + 'Schedule A'!C7 - 0.075 * MAX(0, K7 - F7)) / 1.075)))</f>
        <v>187096.0651</v>
      </c>
      <c r="I7" s="9">
        <f t="shared" si="2"/>
        <v>241924.4623</v>
      </c>
      <c r="J7" s="9">
        <f t="shared" si="3"/>
        <v>0</v>
      </c>
      <c r="K7" s="9">
        <f>IF('Capital Gains'!G7&lt;=0, 0, MAX(0, 'Capital Gains'!F7 - F7))</f>
        <v>91572.41203</v>
      </c>
      <c r="L7" s="9">
        <f>IF('Capital Gains'!G7&lt;=0, 0, MAX(0, K7 - J7))</f>
        <v>91572.41203</v>
      </c>
      <c r="M7" s="9">
        <f t="shared" si="4"/>
        <v>333496.8744</v>
      </c>
      <c r="N7" s="9">
        <f>'Schedule A'!M7</f>
        <v>215056.5314</v>
      </c>
      <c r="O7" s="9">
        <f t="shared" si="5"/>
        <v>26867.9309</v>
      </c>
      <c r="P7" s="9">
        <f>IF(O7&lt;=0, 0, IF(O7&lt;=Assumptions!$B$30, O7*Assumptions!$C$29, IF(O7&lt;=Assumptions!$B$31, Assumptions!$D$30 + (O7-Assumptions!$B$30)*Assumptions!$C$30, IF(O7&lt;=Assumptions!$B$32, Assumptions!$D$31 + (O7-Assumptions!$B$31)*Assumptions!$C$31, IF(O7&lt;=Assumptions!$B$33, Assumptions!$D$32 + (O7-Assumptions!$B$32)*Assumptions!$C$32, IF(O7&lt;=Assumptions!$B$34, Assumptions!$D$33 + (O7-Assumptions!$B$33)*Assumptions!$C$33, IF(O7&lt;=Assumptions!$B$35, Assumptions!$D$34 + (O7-Assumptions!$B$34)*Assumptions!$C$34, Assumptions!$D$35 + (O7-Assumptions!$B$35)*Assumptions!$C$35)))))))</f>
        <v>2760.151708</v>
      </c>
      <c r="Q7" s="9">
        <f t="shared" si="6"/>
        <v>91572.41203</v>
      </c>
      <c r="R7" s="9">
        <f>IF('Capital Gains'!G7&lt;=0, 0, MIN('Schedule A'!R7, L7))</f>
        <v>0</v>
      </c>
      <c r="S7" s="9">
        <f t="shared" si="7"/>
        <v>0</v>
      </c>
      <c r="T7" s="9">
        <f>IF('Capital Gains'!G7&lt;=0, 0, MAX(0, L7 - S7))</f>
        <v>91572.41203</v>
      </c>
      <c r="U7" s="9">
        <f>IF(T7&lt;=0, 0, IF((O7+T7)&lt;=Assumptions!$B$46, 0, IF(O7&gt;=Assumptions!$B$46, T7*Assumptions!$C$46, (O7+T7-Assumptions!$B$46)*Assumptions!$C$46)))</f>
        <v>0</v>
      </c>
      <c r="V7" s="9">
        <f t="shared" si="8"/>
        <v>3172.881225</v>
      </c>
      <c r="W7" s="9">
        <f t="shared" si="9"/>
        <v>5933.032934</v>
      </c>
      <c r="X7" s="9">
        <f>C7 + D7 + E7 + 'Capital Gains'!F7</f>
        <v>476013.4637</v>
      </c>
      <c r="Y7" s="9">
        <f>IF(MAX(0, X7 - 20500)&lt;=0, 0, IF(MAX(0, X7 - 20500)&lt;=Assumptions!$B$20, MAX(0, X7 - 20500)*Assumptions!$C$19, IF(MAX(0, X7 - 20500)&lt;=Assumptions!$B$21, Assumptions!$D$20 + (MAX(0, X7 - 20500)-Assumptions!$B$20)*Assumptions!$C$20, IF(MAX(0, X7 - 20500)&lt;=Assumptions!$B$22, Assumptions!$D$21 + (MAX(0, X7 - 20500)-Assumptions!$B$21)*Assumptions!$C$21, IF(MAX(0, X7 - 20500)&lt;=Assumptions!$B$23, Assumptions!$D$22 + (MAX(0, X7 - 20500)-Assumptions!$B$22)*Assumptions!$C$22, IF(MAX(0, X7 - 20500)&lt;=Assumptions!$B$24, Assumptions!$D$23 + (MAX(0, X7 - 20500)-Assumptions!$B$23)*Assumptions!$C$23, IF(MAX(0, X7 - 20500)&lt;=Assumptions!$B$25, Assumptions!$D$24 + (MAX(0, X7 - 20500)-Assumptions!$B$25)*Assumptions!$C$24, Assumptions!$D$25 + (MAX(0, X7 - 20500)-Assumptions!$B$25)*Assumptions!$C$25)))))))</f>
        <v>24973.70764</v>
      </c>
      <c r="Z7" s="9">
        <f t="shared" si="10"/>
        <v>30906.74057</v>
      </c>
      <c r="AA7" s="9">
        <f>H7 + MIN(J7, 'Capital Gains'!F7)</f>
        <v>187096.0651</v>
      </c>
    </row>
    <row r="8" ht="15.75" customHeight="1">
      <c r="A8" s="7">
        <v>2032.0</v>
      </c>
      <c r="B8" s="9">
        <f>'Outside Income'!D8 * 0.85</f>
        <v>45025.27055</v>
      </c>
      <c r="C8" s="9">
        <f>'Outside Income'!E8</f>
        <v>54301.78011</v>
      </c>
      <c r="D8" s="9">
        <f>IF('Capital Gains'!G8&lt;=0, 0, 'Outside Income'!G8)</f>
        <v>15188.66913</v>
      </c>
      <c r="E8" s="9">
        <f>'Inherited and Roth IRA'!K8</f>
        <v>144757.1655</v>
      </c>
      <c r="F8" s="9">
        <f>IF('Capital Gains'!F8&lt;=0, 0, MIN(MAX(0, 'Schedule A'!P8 - D8), 'Capital Gains'!F8))</f>
        <v>132043.9496</v>
      </c>
      <c r="G8" s="9">
        <f t="shared" si="1"/>
        <v>391316.8349</v>
      </c>
      <c r="H8" s="9">
        <f>MAX(0, MIN(400000, G8 - ((20000 + 'Schedule A'!J8 + 'Schedule A'!K8 + 'Schedule A'!L8 + 'Schedule A'!Q8 + 'Schedule A'!C8 - 0.075 * MAX(0, K8 - F8)) / 1.075)))</f>
        <v>138083.7012</v>
      </c>
      <c r="I8" s="9">
        <f t="shared" si="2"/>
        <v>253233.1337</v>
      </c>
      <c r="J8" s="9">
        <f t="shared" si="3"/>
        <v>8683.165105</v>
      </c>
      <c r="K8" s="9">
        <f>IF('Capital Gains'!G8&lt;=0, 0, MAX(0, 'Capital Gains'!F8 - F8))</f>
        <v>113471.0393</v>
      </c>
      <c r="L8" s="9">
        <f>IF('Capital Gains'!G8&lt;=0, 0, MAX(0, K8 - J8))</f>
        <v>104787.8742</v>
      </c>
      <c r="M8" s="9">
        <f t="shared" si="4"/>
        <v>358021.0079</v>
      </c>
      <c r="N8" s="9">
        <f>'Schedule A'!M8</f>
        <v>225374.0431</v>
      </c>
      <c r="O8" s="9">
        <f t="shared" si="5"/>
        <v>27859.09057</v>
      </c>
      <c r="P8" s="9">
        <f>IF(O8&lt;=0, 0, IF(O8&lt;=Assumptions!$B$30, O8*Assumptions!$C$29, IF(O8&lt;=Assumptions!$B$31, Assumptions!$D$30 + (O8-Assumptions!$B$30)*Assumptions!$C$30, IF(O8&lt;=Assumptions!$B$32, Assumptions!$D$31 + (O8-Assumptions!$B$31)*Assumptions!$C$31, IF(O8&lt;=Assumptions!$B$33, Assumptions!$D$32 + (O8-Assumptions!$B$32)*Assumptions!$C$32, IF(O8&lt;=Assumptions!$B$34, Assumptions!$D$33 + (O8-Assumptions!$B$33)*Assumptions!$C$33, IF(O8&lt;=Assumptions!$B$35, Assumptions!$D$34 + (O8-Assumptions!$B$34)*Assumptions!$C$34, Assumptions!$D$35 + (O8-Assumptions!$B$35)*Assumptions!$C$35)))))))</f>
        <v>2879.090868</v>
      </c>
      <c r="Q8" s="9">
        <f t="shared" si="6"/>
        <v>104787.8742</v>
      </c>
      <c r="R8" s="9">
        <f>IF('Capital Gains'!G8&lt;=0, 0, MIN('Schedule A'!R8, L8))</f>
        <v>0</v>
      </c>
      <c r="S8" s="9">
        <f t="shared" si="7"/>
        <v>0</v>
      </c>
      <c r="T8" s="9">
        <f>IF('Capital Gains'!G8&lt;=0, 0, MAX(0, L8 - S8))</f>
        <v>104787.8742</v>
      </c>
      <c r="U8" s="9">
        <f>IF(T8&lt;=0, 0, IF((O8+T8)&lt;=Assumptions!$B$46, 0, IF(O8&gt;=Assumptions!$B$46, T8*Assumptions!$C$46, (O8+T8-Assumptions!$B$46)*Assumptions!$C$46)))</f>
        <v>0</v>
      </c>
      <c r="V8" s="9">
        <f t="shared" si="8"/>
        <v>4104.798302</v>
      </c>
      <c r="W8" s="9">
        <f t="shared" si="9"/>
        <v>6983.88917</v>
      </c>
      <c r="X8" s="9">
        <f>C8 + D8 + E8 + 'Capital Gains'!F8</f>
        <v>459762.6037</v>
      </c>
      <c r="Y8" s="9">
        <f>IF(MAX(0, X8 - 20500)&lt;=0, 0, IF(MAX(0, X8 - 20500)&lt;=Assumptions!$B$20, MAX(0, X8 - 20500)*Assumptions!$C$19, IF(MAX(0, X8 - 20500)&lt;=Assumptions!$B$21, Assumptions!$D$20 + (MAX(0, X8 - 20500)-Assumptions!$B$20)*Assumptions!$C$20, IF(MAX(0, X8 - 20500)&lt;=Assumptions!$B$22, Assumptions!$D$21 + (MAX(0, X8 - 20500)-Assumptions!$B$21)*Assumptions!$C$21, IF(MAX(0, X8 - 20500)&lt;=Assumptions!$B$23, Assumptions!$D$22 + (MAX(0, X8 - 20500)-Assumptions!$B$22)*Assumptions!$C$22, IF(MAX(0, X8 - 20500)&lt;=Assumptions!$B$24, Assumptions!$D$23 + (MAX(0, X8 - 20500)-Assumptions!$B$23)*Assumptions!$C$23, IF(MAX(0, X8 - 20500)&lt;=Assumptions!$B$25, Assumptions!$D$24 + (MAX(0, X8 - 20500)-Assumptions!$B$25)*Assumptions!$C$24, Assumptions!$D$25 + (MAX(0, X8 - 20500)-Assumptions!$B$25)*Assumptions!$C$25)))))))</f>
        <v>23938.52785</v>
      </c>
      <c r="Z8" s="9">
        <f t="shared" si="10"/>
        <v>30922.41702</v>
      </c>
      <c r="AA8" s="9">
        <f>H8 + MIN(J8, 'Capital Gains'!F8)</f>
        <v>146766.8663</v>
      </c>
    </row>
    <row r="9" ht="15.75" customHeight="1">
      <c r="A9" s="7">
        <v>2033.0</v>
      </c>
      <c r="B9" s="9">
        <f>'Outside Income'!D9 * 0.85</f>
        <v>45475.52325</v>
      </c>
      <c r="C9" s="9">
        <f>'Outside Income'!E9</f>
        <v>59731.95812</v>
      </c>
      <c r="D9" s="9">
        <f>IF('Capital Gains'!G9&lt;=0, 0, 'Outside Income'!G9)</f>
        <v>14461.98418</v>
      </c>
      <c r="E9" s="9">
        <f>'Inherited and Roth IRA'!K9</f>
        <v>0</v>
      </c>
      <c r="F9" s="9">
        <f>IF('Capital Gains'!F9&lt;=0, 0, MIN(MAX(0, 'Schedule A'!P9 - D9), 'Capital Gains'!F9))</f>
        <v>146021.5702</v>
      </c>
      <c r="G9" s="9">
        <f t="shared" si="1"/>
        <v>265691.0358</v>
      </c>
      <c r="H9" s="9">
        <v>0.0</v>
      </c>
      <c r="I9" s="9">
        <f t="shared" si="2"/>
        <v>265691.0358</v>
      </c>
      <c r="J9" s="9">
        <v>0.0</v>
      </c>
      <c r="K9" s="9">
        <f>IF('Capital Gains'!G9&lt;=0, 0, MAX(0, 'Capital Gains'!F9 - F9))</f>
        <v>132981.3727</v>
      </c>
      <c r="L9" s="9">
        <f>IF('Capital Gains'!G9&lt;=0, 0, MAX(0, K9 - J9))</f>
        <v>132981.3727</v>
      </c>
      <c r="M9" s="9">
        <f t="shared" si="4"/>
        <v>398672.4084</v>
      </c>
      <c r="N9" s="9">
        <f>'Schedule A'!M9</f>
        <v>235576.1238</v>
      </c>
      <c r="O9" s="9">
        <f t="shared" si="5"/>
        <v>30114.91201</v>
      </c>
      <c r="P9" s="9">
        <f>IF(O9&lt;=0, 0, IF(O9&lt;=Assumptions!$B$30, O9*Assumptions!$C$29, IF(O9&lt;=Assumptions!$B$31, Assumptions!$D$30 + (O9-Assumptions!$B$30)*Assumptions!$C$30, IF(O9&lt;=Assumptions!$B$32, Assumptions!$D$31 + (O9-Assumptions!$B$31)*Assumptions!$C$31, IF(O9&lt;=Assumptions!$B$33, Assumptions!$D$32 + (O9-Assumptions!$B$32)*Assumptions!$C$32, IF(O9&lt;=Assumptions!$B$34, Assumptions!$D$33 + (O9-Assumptions!$B$33)*Assumptions!$C$33, IF(O9&lt;=Assumptions!$B$35, Assumptions!$D$34 + (O9-Assumptions!$B$34)*Assumptions!$C$34, Assumptions!$D$35 + (O9-Assumptions!$B$35)*Assumptions!$C$35)))))))</f>
        <v>3149.789441</v>
      </c>
      <c r="Q9" s="9">
        <f t="shared" si="6"/>
        <v>132981.3727</v>
      </c>
      <c r="R9" s="9">
        <f>IF('Capital Gains'!G9&lt;=0, 0, MIN('Schedule A'!R9, L9))</f>
        <v>0</v>
      </c>
      <c r="S9" s="9">
        <f t="shared" si="7"/>
        <v>0</v>
      </c>
      <c r="T9" s="9">
        <f>IF('Capital Gains'!G9&lt;=0, 0, MAX(0, L9 - S9))</f>
        <v>132981.3727</v>
      </c>
      <c r="U9" s="9">
        <f>IF(T9&lt;=0, 0, IF((O9+T9)&lt;=Assumptions!$B$46, 0, IF(O9&gt;=Assumptions!$B$46, T9*Assumptions!$C$46, (O9+T9-Assumptions!$B$46)*Assumptions!$C$46)))</f>
        <v>0</v>
      </c>
      <c r="V9" s="9">
        <f t="shared" si="8"/>
        <v>5602.84756</v>
      </c>
      <c r="W9" s="9">
        <f t="shared" si="9"/>
        <v>8752.637001</v>
      </c>
      <c r="X9" s="9">
        <f>C9 + D9 + E9 + 'Capital Gains'!F9</f>
        <v>353196.8852</v>
      </c>
      <c r="Y9" s="9">
        <f>IF(MAX(0, X9 - 20500)&lt;=0, 0, IF(MAX(0, X9 - 20500)&lt;=Assumptions!$B$20, MAX(0, X9 - 20500)*Assumptions!$C$19, IF(MAX(0, X9 - 20500)&lt;=Assumptions!$B$21, Assumptions!$D$20 + (MAX(0, X9 - 20500)-Assumptions!$B$20)*Assumptions!$C$20, IF(MAX(0, X9 - 20500)&lt;=Assumptions!$B$22, Assumptions!$D$21 + (MAX(0, X9 - 20500)-Assumptions!$B$21)*Assumptions!$C$21, IF(MAX(0, X9 - 20500)&lt;=Assumptions!$B$23, Assumptions!$D$22 + (MAX(0, X9 - 20500)-Assumptions!$B$22)*Assumptions!$C$22, IF(MAX(0, X9 - 20500)&lt;=Assumptions!$B$24, Assumptions!$D$23 + (MAX(0, X9 - 20500)-Assumptions!$B$23)*Assumptions!$C$23, IF(MAX(0, X9 - 20500)&lt;=Assumptions!$B$25, Assumptions!$D$24 + (MAX(0, X9 - 20500)-Assumptions!$B$25)*Assumptions!$C$24, Assumptions!$D$25 + (MAX(0, X9 - 20500)-Assumptions!$B$25)*Assumptions!$C$25)))))))</f>
        <v>17150.29159</v>
      </c>
      <c r="Z9" s="9">
        <f t="shared" si="10"/>
        <v>25902.92859</v>
      </c>
      <c r="AA9" s="9">
        <f>H9 + MIN(J9, 'Capital Gains'!F9)</f>
        <v>0</v>
      </c>
    </row>
    <row r="10" ht="15.75" customHeight="1">
      <c r="A10" s="7">
        <v>2034.0</v>
      </c>
      <c r="B10" s="9">
        <f>'Outside Income'!D10 * 0.85</f>
        <v>45930.27848</v>
      </c>
      <c r="C10" s="9">
        <f>'Outside Income'!E10</f>
        <v>65705.15393</v>
      </c>
      <c r="D10" s="9">
        <f>IF('Capital Gains'!G10&lt;=0, 0, 'Outside Income'!G10)</f>
        <v>13584.21255</v>
      </c>
      <c r="E10" s="9">
        <f>'Inherited and Roth IRA'!K10</f>
        <v>0</v>
      </c>
      <c r="F10" s="9">
        <f>IF('Capital Gains'!F10&lt;=0, 0, MIN(MAX(0, 'Schedule A'!P10 - D10), 'Capital Gains'!F10))</f>
        <v>161342.8618</v>
      </c>
      <c r="G10" s="9">
        <f t="shared" si="1"/>
        <v>286562.5067</v>
      </c>
      <c r="H10" s="9">
        <v>0.0</v>
      </c>
      <c r="I10" s="9">
        <f t="shared" si="2"/>
        <v>286562.5067</v>
      </c>
      <c r="J10" s="9">
        <v>0.0</v>
      </c>
      <c r="K10" s="9">
        <f>IF('Capital Gains'!G10&lt;=0, 0, MAX(0, 'Capital Gains'!F10 - F10))</f>
        <v>150032.5002</v>
      </c>
      <c r="L10" s="9">
        <f>IF('Capital Gains'!G10&lt;=0, 0, MAX(0, K10 - J10))</f>
        <v>150032.5002</v>
      </c>
      <c r="M10" s="9">
        <f t="shared" si="4"/>
        <v>436595.0069</v>
      </c>
      <c r="N10" s="9">
        <f>'Schedule A'!M10</f>
        <v>247175.4488</v>
      </c>
      <c r="O10" s="9">
        <f t="shared" si="5"/>
        <v>39387.05793</v>
      </c>
      <c r="P10" s="9">
        <f>IF(O10&lt;=0, 0, IF(O10&lt;=Assumptions!$B$30, O10*Assumptions!$C$29, IF(O10&lt;=Assumptions!$B$31, Assumptions!$D$30 + (O10-Assumptions!$B$30)*Assumptions!$C$30, IF(O10&lt;=Assumptions!$B$32, Assumptions!$D$31 + (O10-Assumptions!$B$31)*Assumptions!$C$31, IF(O10&lt;=Assumptions!$B$33, Assumptions!$D$32 + (O10-Assumptions!$B$32)*Assumptions!$C$32, IF(O10&lt;=Assumptions!$B$34, Assumptions!$D$33 + (O10-Assumptions!$B$33)*Assumptions!$C$33, IF(O10&lt;=Assumptions!$B$35, Assumptions!$D$34 + (O10-Assumptions!$B$34)*Assumptions!$C$34, Assumptions!$D$35 + (O10-Assumptions!$B$35)*Assumptions!$C$35)))))))</f>
        <v>4262.446952</v>
      </c>
      <c r="Q10" s="9">
        <f t="shared" si="6"/>
        <v>150032.5002</v>
      </c>
      <c r="R10" s="9">
        <f>IF('Capital Gains'!G10&lt;=0, 0, MIN('Schedule A'!R10, L10))</f>
        <v>0</v>
      </c>
      <c r="S10" s="9">
        <f t="shared" si="7"/>
        <v>0</v>
      </c>
      <c r="T10" s="9">
        <f>IF('Capital Gains'!G10&lt;=0, 0, MAX(0, L10 - S10))</f>
        <v>150032.5002</v>
      </c>
      <c r="U10" s="9">
        <f>IF(T10&lt;=0, 0, IF((O10+T10)&lt;=Assumptions!$B$46, 0, IF(O10&gt;=Assumptions!$B$46, T10*Assumptions!$C$46, (O10+T10-Assumptions!$B$46)*Assumptions!$C$46)))</f>
        <v>0</v>
      </c>
      <c r="V10" s="9">
        <f t="shared" si="8"/>
        <v>6217.435083</v>
      </c>
      <c r="W10" s="9">
        <f t="shared" si="9"/>
        <v>10479.88203</v>
      </c>
      <c r="X10" s="9">
        <f>C10 + D10 + E10 + 'Capital Gains'!F10</f>
        <v>390664.7284</v>
      </c>
      <c r="Y10" s="9">
        <f>IF(MAX(0, X10 - 20500)&lt;=0, 0, IF(MAX(0, X10 - 20500)&lt;=Assumptions!$B$20, MAX(0, X10 - 20500)*Assumptions!$C$19, IF(MAX(0, X10 - 20500)&lt;=Assumptions!$B$21, Assumptions!$D$20 + (MAX(0, X10 - 20500)-Assumptions!$B$20)*Assumptions!$C$20, IF(MAX(0, X10 - 20500)&lt;=Assumptions!$B$22, Assumptions!$D$21 + (MAX(0, X10 - 20500)-Assumptions!$B$21)*Assumptions!$C$21, IF(MAX(0, X10 - 20500)&lt;=Assumptions!$B$23, Assumptions!$D$22 + (MAX(0, X10 - 20500)-Assumptions!$B$22)*Assumptions!$C$22, IF(MAX(0, X10 - 20500)&lt;=Assumptions!$B$24, Assumptions!$D$23 + (MAX(0, X10 - 20500)-Assumptions!$B$23)*Assumptions!$C$23, IF(MAX(0, X10 - 20500)&lt;=Assumptions!$B$25, Assumptions!$D$24 + (MAX(0, X10 - 20500)-Assumptions!$B$25)*Assumptions!$C$24, Assumptions!$D$25 + (MAX(0, X10 - 20500)-Assumptions!$B$25)*Assumptions!$C$25)))))))</f>
        <v>19536.9932</v>
      </c>
      <c r="Z10" s="9">
        <f t="shared" si="10"/>
        <v>30016.87523</v>
      </c>
      <c r="AA10" s="9">
        <f>H10 + MIN(J10, 'Capital Gains'!F10)</f>
        <v>0</v>
      </c>
    </row>
    <row r="11" ht="15.75" customHeight="1">
      <c r="A11" s="7">
        <v>2035.0</v>
      </c>
      <c r="B11" s="9">
        <f>'Outside Income'!D11 * 0.85</f>
        <v>46389.58127</v>
      </c>
      <c r="C11" s="9">
        <f>'Outside Income'!E11</f>
        <v>72275.66932</v>
      </c>
      <c r="D11" s="9">
        <f>IF('Capital Gains'!G11&lt;=0, 0, 'Outside Income'!G11)</f>
        <v>12538.36387</v>
      </c>
      <c r="E11" s="9">
        <f>'Inherited and Roth IRA'!K11</f>
        <v>0</v>
      </c>
      <c r="F11" s="9">
        <f>IF('Capital Gains'!F11&lt;=0, 0, MIN(MAX(0, 'Schedule A'!P11 - D11), 'Capital Gains'!F11))</f>
        <v>178132.1471</v>
      </c>
      <c r="G11" s="9">
        <f t="shared" si="1"/>
        <v>309335.7616</v>
      </c>
      <c r="H11" s="9">
        <v>0.0</v>
      </c>
      <c r="I11" s="9">
        <f t="shared" si="2"/>
        <v>309335.7616</v>
      </c>
      <c r="J11" s="9">
        <v>0.0</v>
      </c>
      <c r="K11" s="9">
        <f>IF('Capital Gains'!G11&lt;=0, 0, MAX(0, 'Capital Gains'!F11 - F11))</f>
        <v>164535.0358</v>
      </c>
      <c r="L11" s="9">
        <f>IF('Capital Gains'!G11&lt;=0, 0, MAX(0, K11 - J11))</f>
        <v>164535.0358</v>
      </c>
      <c r="M11" s="9">
        <f t="shared" si="4"/>
        <v>473870.7974</v>
      </c>
      <c r="N11" s="9">
        <f>'Schedule A'!M11</f>
        <v>260123.2012</v>
      </c>
      <c r="O11" s="9">
        <f t="shared" si="5"/>
        <v>49212.5604</v>
      </c>
      <c r="P11" s="9">
        <f>IF(O11&lt;=0, 0, IF(O11&lt;=Assumptions!$B$30, O11*Assumptions!$C$29, IF(O11&lt;=Assumptions!$B$31, Assumptions!$D$30 + (O11-Assumptions!$B$30)*Assumptions!$C$30, IF(O11&lt;=Assumptions!$B$32, Assumptions!$D$31 + (O11-Assumptions!$B$31)*Assumptions!$C$31, IF(O11&lt;=Assumptions!$B$33, Assumptions!$D$32 + (O11-Assumptions!$B$32)*Assumptions!$C$32, IF(O11&lt;=Assumptions!$B$34, Assumptions!$D$33 + (O11-Assumptions!$B$33)*Assumptions!$C$33, IF(O11&lt;=Assumptions!$B$35, Assumptions!$D$34 + (O11-Assumptions!$B$34)*Assumptions!$C$34, Assumptions!$D$35 + (O11-Assumptions!$B$35)*Assumptions!$C$35)))))))</f>
        <v>5441.507248</v>
      </c>
      <c r="Q11" s="9">
        <f t="shared" si="6"/>
        <v>164535.0358</v>
      </c>
      <c r="R11" s="9">
        <f>IF('Capital Gains'!G11&lt;=0, 0, MIN('Schedule A'!R11, L11))</f>
        <v>0</v>
      </c>
      <c r="S11" s="9">
        <f t="shared" si="7"/>
        <v>0</v>
      </c>
      <c r="T11" s="9">
        <f>IF('Capital Gains'!G11&lt;=0, 0, MAX(0, L11 - S11))</f>
        <v>164535.0358</v>
      </c>
      <c r="U11" s="9">
        <f>IF(T11&lt;=0, 0, IF((O11+T11)&lt;=Assumptions!$B$46, 0, IF(O11&gt;=Assumptions!$B$46, T11*Assumptions!$C$46, (O11+T11-Assumptions!$B$46)*Assumptions!$C$46)))</f>
        <v>0</v>
      </c>
      <c r="V11" s="9">
        <f t="shared" si="8"/>
        <v>6728.789187</v>
      </c>
      <c r="W11" s="9">
        <f t="shared" si="9"/>
        <v>12170.29643</v>
      </c>
      <c r="X11" s="9">
        <f>C11 + D11 + E11 + 'Capital Gains'!F11</f>
        <v>427481.2161</v>
      </c>
      <c r="Y11" s="9">
        <f>IF(MAX(0, X11 - 20500)&lt;=0, 0, IF(MAX(0, X11 - 20500)&lt;=Assumptions!$B$20, MAX(0, X11 - 20500)*Assumptions!$C$19, IF(MAX(0, X11 - 20500)&lt;=Assumptions!$B$21, Assumptions!$D$20 + (MAX(0, X11 - 20500)-Assumptions!$B$20)*Assumptions!$C$20, IF(MAX(0, X11 - 20500)&lt;=Assumptions!$B$22, Assumptions!$D$21 + (MAX(0, X11 - 20500)-Assumptions!$B$21)*Assumptions!$C$21, IF(MAX(0, X11 - 20500)&lt;=Assumptions!$B$23, Assumptions!$D$22 + (MAX(0, X11 - 20500)-Assumptions!$B$22)*Assumptions!$C$22, IF(MAX(0, X11 - 20500)&lt;=Assumptions!$B$24, Assumptions!$D$23 + (MAX(0, X11 - 20500)-Assumptions!$B$23)*Assumptions!$C$23, IF(MAX(0, X11 - 20500)&lt;=Assumptions!$B$25, Assumptions!$D$24 + (MAX(0, X11 - 20500)-Assumptions!$B$25)*Assumptions!$C$24, Assumptions!$D$25 + (MAX(0, X11 - 20500)-Assumptions!$B$25)*Assumptions!$C$25)))))))</f>
        <v>21882.20347</v>
      </c>
      <c r="Z11" s="9">
        <f t="shared" si="10"/>
        <v>34052.4999</v>
      </c>
      <c r="AA11" s="9">
        <f>H11 + MIN(J11, 'Capital Gains'!F11)</f>
        <v>0</v>
      </c>
    </row>
    <row r="12" ht="15.75" customHeight="1">
      <c r="A12" s="7">
        <v>2036.0</v>
      </c>
      <c r="B12" s="9">
        <f>'Outside Income'!D12 * 0.85</f>
        <v>46853.47708</v>
      </c>
      <c r="C12" s="9">
        <f>'Outside Income'!E12</f>
        <v>79503.23626</v>
      </c>
      <c r="D12" s="9">
        <f>IF('Capital Gains'!G12&lt;=0, 0, 'Outside Income'!G12)</f>
        <v>11305.74865</v>
      </c>
      <c r="E12" s="9" t="str">
        <f>'Inherited and Roth IRA'!K12</f>
        <v/>
      </c>
      <c r="F12" s="9">
        <f>IF('Capital Gains'!F12&lt;=0, 0, MIN(MAX(0, 'Schedule A'!P12 - D12), 'Capital Gains'!F12))</f>
        <v>196525.1083</v>
      </c>
      <c r="G12" s="9">
        <f t="shared" si="1"/>
        <v>334187.5703</v>
      </c>
      <c r="H12" s="9">
        <v>0.0</v>
      </c>
      <c r="I12" s="9">
        <f t="shared" si="2"/>
        <v>334187.5703</v>
      </c>
      <c r="J12" s="9">
        <v>0.0</v>
      </c>
      <c r="K12" s="9">
        <f>IF('Capital Gains'!G12&lt;=0, 0, MAX(0, 'Capital Gains'!F12 - F12))</f>
        <v>176379.7971</v>
      </c>
      <c r="L12" s="9">
        <f>IF('Capital Gains'!G12&lt;=0, 0, MAX(0, K12 - J12))</f>
        <v>176379.7971</v>
      </c>
      <c r="M12" s="9">
        <f t="shared" si="4"/>
        <v>510567.3674</v>
      </c>
      <c r="N12" s="9">
        <f>'Schedule A'!M12</f>
        <v>274531.3044</v>
      </c>
      <c r="O12" s="9">
        <f t="shared" si="5"/>
        <v>59656.2659</v>
      </c>
      <c r="P12" s="9">
        <f>IF(O12&lt;=0, 0, IF(O12&lt;=Assumptions!$B$30, O12*Assumptions!$C$29, IF(O12&lt;=Assumptions!$B$31, Assumptions!$D$30 + (O12-Assumptions!$B$30)*Assumptions!$C$30, IF(O12&lt;=Assumptions!$B$32, Assumptions!$D$31 + (O12-Assumptions!$B$31)*Assumptions!$C$31, IF(O12&lt;=Assumptions!$B$33, Assumptions!$D$32 + (O12-Assumptions!$B$32)*Assumptions!$C$32, IF(O12&lt;=Assumptions!$B$34, Assumptions!$D$33 + (O12-Assumptions!$B$33)*Assumptions!$C$33, IF(O12&lt;=Assumptions!$B$35, Assumptions!$D$34 + (O12-Assumptions!$B$34)*Assumptions!$C$34, Assumptions!$D$35 + (O12-Assumptions!$B$35)*Assumptions!$C$35)))))))</f>
        <v>6694.751907</v>
      </c>
      <c r="Q12" s="9">
        <f t="shared" si="6"/>
        <v>176379.7971</v>
      </c>
      <c r="R12" s="9">
        <f>IF('Capital Gains'!G12&lt;=0, 0, MIN('Schedule A'!R12, L12))</f>
        <v>0</v>
      </c>
      <c r="S12" s="9">
        <f t="shared" si="7"/>
        <v>0</v>
      </c>
      <c r="T12" s="9">
        <f>IF('Capital Gains'!G12&lt;=0, 0, MAX(0, L12 - S12))</f>
        <v>176379.7971</v>
      </c>
      <c r="U12" s="9">
        <f>IF(T12&lt;=0, 0, IF((O12+T12)&lt;=Assumptions!$B$46, 0, IF(O12&gt;=Assumptions!$B$46, T12*Assumptions!$C$46, (O12+T12-Assumptions!$B$46)*Assumptions!$C$46)))</f>
        <v>0</v>
      </c>
      <c r="V12" s="9">
        <f t="shared" si="8"/>
        <v>7132.050738</v>
      </c>
      <c r="W12" s="9">
        <f t="shared" si="9"/>
        <v>13826.80265</v>
      </c>
      <c r="X12" s="9">
        <f>C12 + D12 + E12 + 'Capital Gains'!F12</f>
        <v>463713.8903</v>
      </c>
      <c r="Y12" s="9">
        <f>IF(MAX(0, X12 - 20500)&lt;=0, 0, IF(MAX(0, X12 - 20500)&lt;=Assumptions!$B$20, MAX(0, X12 - 20500)*Assumptions!$C$19, IF(MAX(0, X12 - 20500)&lt;=Assumptions!$B$21, Assumptions!$D$20 + (MAX(0, X12 - 20500)-Assumptions!$B$20)*Assumptions!$C$20, IF(MAX(0, X12 - 20500)&lt;=Assumptions!$B$22, Assumptions!$D$21 + (MAX(0, X12 - 20500)-Assumptions!$B$21)*Assumptions!$C$21, IF(MAX(0, X12 - 20500)&lt;=Assumptions!$B$23, Assumptions!$D$22 + (MAX(0, X12 - 20500)-Assumptions!$B$22)*Assumptions!$C$22, IF(MAX(0, X12 - 20500)&lt;=Assumptions!$B$24, Assumptions!$D$23 + (MAX(0, X12 - 20500)-Assumptions!$B$23)*Assumptions!$C$23, IF(MAX(0, X12 - 20500)&lt;=Assumptions!$B$25, Assumptions!$D$24 + (MAX(0, X12 - 20500)-Assumptions!$B$25)*Assumptions!$C$24, Assumptions!$D$25 + (MAX(0, X12 - 20500)-Assumptions!$B$25)*Assumptions!$C$25)))))))</f>
        <v>24190.22481</v>
      </c>
      <c r="Z12" s="9">
        <f t="shared" si="10"/>
        <v>38017.02746</v>
      </c>
      <c r="AA12" s="9">
        <f>H12 + MIN(J12, 'Capital Gains'!F12)</f>
        <v>0</v>
      </c>
    </row>
    <row r="13" ht="15.75" customHeight="1">
      <c r="A13" s="7">
        <v>2037.0</v>
      </c>
      <c r="B13" s="9">
        <f>'Outside Income'!D13 * 0.85</f>
        <v>47322.01185</v>
      </c>
      <c r="C13" s="9">
        <f>'Outside Income'!E13</f>
        <v>87453.55988</v>
      </c>
      <c r="D13" s="9">
        <f>IF('Capital Gains'!G13&lt;=0, 0, 'Outside Income'!G13)</f>
        <v>9865.814559</v>
      </c>
      <c r="E13" s="9" t="str">
        <f>'Inherited and Roth IRA'!K13</f>
        <v/>
      </c>
      <c r="F13" s="9">
        <f>IF('Capital Gains'!F13&lt;=0, 0, MIN(MAX(0, 'Schedule A'!P13 - D13), 'Capital Gains'!F13))</f>
        <v>216669.8196</v>
      </c>
      <c r="G13" s="9">
        <f t="shared" si="1"/>
        <v>361311.2059</v>
      </c>
      <c r="H13" s="9">
        <v>0.0</v>
      </c>
      <c r="I13" s="9">
        <f t="shared" si="2"/>
        <v>361311.2059</v>
      </c>
      <c r="J13" s="9">
        <v>0.0</v>
      </c>
      <c r="K13" s="9">
        <f>IF('Capital Gains'!G13&lt;=0, 0, MAX(0, 'Capital Gains'!F13 - F13))</f>
        <v>185436.3566</v>
      </c>
      <c r="L13" s="9">
        <f>IF('Capital Gains'!G13&lt;=0, 0, MAX(0, K13 - J13))</f>
        <v>185436.3566</v>
      </c>
      <c r="M13" s="9">
        <f t="shared" si="4"/>
        <v>546747.5625</v>
      </c>
      <c r="N13" s="9">
        <f>'Schedule A'!M13</f>
        <v>290522.5669</v>
      </c>
      <c r="O13" s="9">
        <f t="shared" si="5"/>
        <v>70788.63892</v>
      </c>
      <c r="P13" s="9">
        <f>IF(O13&lt;=0, 0, IF(O13&lt;=Assumptions!$B$30, O13*Assumptions!$C$29, IF(O13&lt;=Assumptions!$B$31, Assumptions!$D$30 + (O13-Assumptions!$B$30)*Assumptions!$C$30, IF(O13&lt;=Assumptions!$B$32, Assumptions!$D$31 + (O13-Assumptions!$B$31)*Assumptions!$C$31, IF(O13&lt;=Assumptions!$B$33, Assumptions!$D$32 + (O13-Assumptions!$B$32)*Assumptions!$C$32, IF(O13&lt;=Assumptions!$B$34, Assumptions!$D$33 + (O13-Assumptions!$B$33)*Assumptions!$C$33, IF(O13&lt;=Assumptions!$B$35, Assumptions!$D$34 + (O13-Assumptions!$B$34)*Assumptions!$C$34, Assumptions!$D$35 + (O13-Assumptions!$B$35)*Assumptions!$C$35)))))))</f>
        <v>8030.636671</v>
      </c>
      <c r="Q13" s="9">
        <f t="shared" si="6"/>
        <v>185436.3566</v>
      </c>
      <c r="R13" s="9">
        <f>IF('Capital Gains'!G13&lt;=0, 0, MIN('Schedule A'!R13, L13))</f>
        <v>0</v>
      </c>
      <c r="S13" s="9">
        <f t="shared" si="7"/>
        <v>0</v>
      </c>
      <c r="T13" s="9">
        <f>IF('Capital Gains'!G13&lt;=0, 0, MAX(0, L13 - S13))</f>
        <v>185436.3566</v>
      </c>
      <c r="U13" s="9">
        <f>IF(T13&lt;=0, 0, IF((O13+T13)&lt;=Assumptions!$B$46, 0, IF(O13&gt;=Assumptions!$B$46, T13*Assumptions!$C$46, (O13+T13-Assumptions!$B$46)*Assumptions!$C$46)))</f>
        <v>0</v>
      </c>
      <c r="V13" s="9">
        <f t="shared" si="8"/>
        <v>7421.482505</v>
      </c>
      <c r="W13" s="9">
        <f t="shared" si="9"/>
        <v>15452.11918</v>
      </c>
      <c r="X13" s="9">
        <f>C13 + D13 + E13 + 'Capital Gains'!F13</f>
        <v>499425.5506</v>
      </c>
      <c r="Y13" s="9">
        <f>IF(MAX(0, X13 - 20500)&lt;=0, 0, IF(MAX(0, X13 - 20500)&lt;=Assumptions!$B$20, MAX(0, X13 - 20500)*Assumptions!$C$19, IF(MAX(0, X13 - 20500)&lt;=Assumptions!$B$21, Assumptions!$D$20 + (MAX(0, X13 - 20500)-Assumptions!$B$20)*Assumptions!$C$20, IF(MAX(0, X13 - 20500)&lt;=Assumptions!$B$22, Assumptions!$D$21 + (MAX(0, X13 - 20500)-Assumptions!$B$21)*Assumptions!$C$21, IF(MAX(0, X13 - 20500)&lt;=Assumptions!$B$23, Assumptions!$D$22 + (MAX(0, X13 - 20500)-Assumptions!$B$22)*Assumptions!$C$22, IF(MAX(0, X13 - 20500)&lt;=Assumptions!$B$24, Assumptions!$D$23 + (MAX(0, X13 - 20500)-Assumptions!$B$23)*Assumptions!$C$23, IF(MAX(0, X13 - 20500)&lt;=Assumptions!$B$25, Assumptions!$D$24 + (MAX(0, X13 - 20500)-Assumptions!$B$25)*Assumptions!$C$24, Assumptions!$D$25 + (MAX(0, X13 - 20500)-Assumptions!$B$25)*Assumptions!$C$25)))))))</f>
        <v>26465.05757</v>
      </c>
      <c r="Z13" s="9">
        <f t="shared" si="10"/>
        <v>41917.17675</v>
      </c>
      <c r="AA13" s="9">
        <f>H13 + MIN(J13, 'Capital Gains'!F13)</f>
        <v>0</v>
      </c>
    </row>
    <row r="14" ht="15.75" customHeight="1">
      <c r="A14" s="7">
        <v>2038.0</v>
      </c>
      <c r="B14" s="9">
        <f>'Outside Income'!D14 * 0.85</f>
        <v>47795.23197</v>
      </c>
      <c r="C14" s="9">
        <f>'Outside Income'!E14</f>
        <v>96198.91587</v>
      </c>
      <c r="D14" s="9">
        <f>IF('Capital Gains'!G14&lt;=0, 0, 'Outside Income'!G14)</f>
        <v>8195.96729</v>
      </c>
      <c r="E14" s="9" t="str">
        <f>'Inherited and Roth IRA'!K14</f>
        <v/>
      </c>
      <c r="F14" s="9">
        <f>IF('Capital Gains'!F14&lt;=0, 0, MIN(MAX(0, 'Schedule A'!P14 - D14), 'Capital Gains'!F14))</f>
        <v>238727.8739</v>
      </c>
      <c r="G14" s="9">
        <f t="shared" si="1"/>
        <v>390917.989</v>
      </c>
      <c r="H14" s="9">
        <v>0.0</v>
      </c>
      <c r="I14" s="9">
        <f t="shared" si="2"/>
        <v>390917.989</v>
      </c>
      <c r="J14" s="9">
        <v>0.0</v>
      </c>
      <c r="K14" s="9">
        <f>IF('Capital Gains'!G14&lt;=0, 0, MAX(0, 'Capital Gains'!F14 - F14))</f>
        <v>191551.452</v>
      </c>
      <c r="L14" s="9">
        <f>IF('Capital Gains'!G14&lt;=0, 0, MAX(0, K14 - J14))</f>
        <v>191551.452</v>
      </c>
      <c r="M14" s="9">
        <f t="shared" si="4"/>
        <v>582469.441</v>
      </c>
      <c r="N14" s="9">
        <f>'Schedule A'!M14</f>
        <v>308231.6331</v>
      </c>
      <c r="O14" s="9">
        <f t="shared" si="5"/>
        <v>82686.35592</v>
      </c>
      <c r="P14" s="9">
        <f>IF(O14&lt;=0, 0, IF(O14&lt;=Assumptions!$B$30, O14*Assumptions!$C$29, IF(O14&lt;=Assumptions!$B$31, Assumptions!$D$30 + (O14-Assumptions!$B$30)*Assumptions!$C$30, IF(O14&lt;=Assumptions!$B$32, Assumptions!$D$31 + (O14-Assumptions!$B$31)*Assumptions!$C$31, IF(O14&lt;=Assumptions!$B$33, Assumptions!$D$32 + (O14-Assumptions!$B$32)*Assumptions!$C$32, IF(O14&lt;=Assumptions!$B$34, Assumptions!$D$33 + (O14-Assumptions!$B$33)*Assumptions!$C$33, IF(O14&lt;=Assumptions!$B$35, Assumptions!$D$34 + (O14-Assumptions!$B$34)*Assumptions!$C$34, Assumptions!$D$35 + (O14-Assumptions!$B$35)*Assumptions!$C$35)))))))</f>
        <v>9458.362711</v>
      </c>
      <c r="Q14" s="9">
        <f t="shared" si="6"/>
        <v>191551.452</v>
      </c>
      <c r="R14" s="9">
        <f>IF('Capital Gains'!G14&lt;=0, 0, MIN('Schedule A'!R14, L14))</f>
        <v>0</v>
      </c>
      <c r="S14" s="9">
        <f t="shared" si="7"/>
        <v>0</v>
      </c>
      <c r="T14" s="9">
        <f>IF('Capital Gains'!G14&lt;=0, 0, MAX(0, L14 - S14))</f>
        <v>191551.452</v>
      </c>
      <c r="U14" s="9">
        <f>IF(T14&lt;=0, 0, IF((O14+T14)&lt;=Assumptions!$B$46, 0, IF(O14&gt;=Assumptions!$B$46, T14*Assumptions!$C$46, (O14+T14-Assumptions!$B$46)*Assumptions!$C$46)))</f>
        <v>0</v>
      </c>
      <c r="V14" s="9">
        <f t="shared" si="8"/>
        <v>7590.401934</v>
      </c>
      <c r="W14" s="9">
        <f t="shared" si="9"/>
        <v>17048.76464</v>
      </c>
      <c r="X14" s="9">
        <f>C14 + D14 + E14 + 'Capital Gains'!F14</f>
        <v>534674.2091</v>
      </c>
      <c r="Y14" s="9">
        <f>IF(MAX(0, X14 - 20500)&lt;=0, 0, IF(MAX(0, X14 - 20500)&lt;=Assumptions!$B$20, MAX(0, X14 - 20500)*Assumptions!$C$19, IF(MAX(0, X14 - 20500)&lt;=Assumptions!$B$21, Assumptions!$D$20 + (MAX(0, X14 - 20500)-Assumptions!$B$20)*Assumptions!$C$20, IF(MAX(0, X14 - 20500)&lt;=Assumptions!$B$22, Assumptions!$D$21 + (MAX(0, X14 - 20500)-Assumptions!$B$21)*Assumptions!$C$21, IF(MAX(0, X14 - 20500)&lt;=Assumptions!$B$23, Assumptions!$D$22 + (MAX(0, X14 - 20500)-Assumptions!$B$22)*Assumptions!$C$22, IF(MAX(0, X14 - 20500)&lt;=Assumptions!$B$24, Assumptions!$D$23 + (MAX(0, X14 - 20500)-Assumptions!$B$23)*Assumptions!$C$23, IF(MAX(0, X14 - 20500)&lt;=Assumptions!$B$25, Assumptions!$D$24 + (MAX(0, X14 - 20500)-Assumptions!$B$25)*Assumptions!$C$24, Assumptions!$D$25 + (MAX(0, X14 - 20500)-Assumptions!$B$25)*Assumptions!$C$25)))))))</f>
        <v>28710.39712</v>
      </c>
      <c r="Z14" s="9">
        <f t="shared" si="10"/>
        <v>45759.16176</v>
      </c>
      <c r="AA14" s="9">
        <f>H14 + MIN(J14, 'Capital Gains'!F14)</f>
        <v>0</v>
      </c>
    </row>
    <row r="15" ht="15.75" customHeight="1">
      <c r="A15" s="7">
        <v>2039.0</v>
      </c>
      <c r="B15" s="9">
        <f>'Outside Income'!D15 * 0.85</f>
        <v>48273.18429</v>
      </c>
      <c r="C15" s="9">
        <f>'Outside Income'!E15</f>
        <v>105818.8075</v>
      </c>
      <c r="D15" s="9">
        <f>IF('Capital Gains'!G15&lt;=0, 0, 'Outside Income'!G15)</f>
        <v>6271.374443</v>
      </c>
      <c r="E15" s="9" t="str">
        <f>'Inherited and Roth IRA'!K15</f>
        <v/>
      </c>
      <c r="F15" s="9">
        <f>IF('Capital Gains'!F15&lt;=0, 0, MIN(MAX(0, 'Schedule A'!P15 - D15), 'Capital Gains'!F15))</f>
        <v>262875.6125</v>
      </c>
      <c r="G15" s="9">
        <f t="shared" si="1"/>
        <v>423238.9786</v>
      </c>
      <c r="H15" s="9">
        <v>0.0</v>
      </c>
      <c r="I15" s="9">
        <f t="shared" si="2"/>
        <v>423238.9786</v>
      </c>
      <c r="J15" s="9">
        <v>0.0</v>
      </c>
      <c r="K15" s="9">
        <f>IF('Capital Gains'!G15&lt;=0, 0, MAX(0, 'Capital Gains'!F15 - F15))</f>
        <v>194547.2392</v>
      </c>
      <c r="L15" s="9">
        <f>IF('Capital Gains'!G15&lt;=0, 0, MAX(0, K15 - J15))</f>
        <v>194547.2392</v>
      </c>
      <c r="M15" s="9">
        <f t="shared" si="4"/>
        <v>617786.2178</v>
      </c>
      <c r="N15" s="9">
        <f>'Schedule A'!M15</f>
        <v>327806.0206</v>
      </c>
      <c r="O15" s="9">
        <f t="shared" si="5"/>
        <v>95432.95808</v>
      </c>
      <c r="P15" s="9">
        <f>IF(O15&lt;=0, 0, IF(O15&lt;=Assumptions!$B$30, O15*Assumptions!$C$29, IF(O15&lt;=Assumptions!$B$31, Assumptions!$D$30 + (O15-Assumptions!$B$30)*Assumptions!$C$30, IF(O15&lt;=Assumptions!$B$32, Assumptions!$D$31 + (O15-Assumptions!$B$31)*Assumptions!$C$31, IF(O15&lt;=Assumptions!$B$33, Assumptions!$D$32 + (O15-Assumptions!$B$32)*Assumptions!$C$32, IF(O15&lt;=Assumptions!$B$34, Assumptions!$D$33 + (O15-Assumptions!$B$33)*Assumptions!$C$33, IF(O15&lt;=Assumptions!$B$35, Assumptions!$D$34 + (O15-Assumptions!$B$34)*Assumptions!$C$34, Assumptions!$D$35 + (O15-Assumptions!$B$35)*Assumptions!$C$35)))))))</f>
        <v>11101.25078</v>
      </c>
      <c r="Q15" s="9">
        <f t="shared" si="6"/>
        <v>194547.2392</v>
      </c>
      <c r="R15" s="9">
        <f>IF('Capital Gains'!G15&lt;=0, 0, MIN('Schedule A'!R15, L15))</f>
        <v>0</v>
      </c>
      <c r="S15" s="9">
        <f t="shared" si="7"/>
        <v>0</v>
      </c>
      <c r="T15" s="9">
        <f>IF('Capital Gains'!G15&lt;=0, 0, MAX(0, L15 - S15))</f>
        <v>194547.2392</v>
      </c>
      <c r="U15" s="9">
        <f>IF(T15&lt;=0, 0, IF((O15+T15)&lt;=Assumptions!$B$46, 0, IF(O15&gt;=Assumptions!$B$46, T15*Assumptions!$C$46, (O15+T15-Assumptions!$B$46)*Assumptions!$C$46)))</f>
        <v>0</v>
      </c>
      <c r="V15" s="9">
        <f t="shared" si="8"/>
        <v>7631.107317</v>
      </c>
      <c r="W15" s="9">
        <f t="shared" si="9"/>
        <v>18732.3581</v>
      </c>
      <c r="X15" s="9">
        <f>C15 + D15 + E15 + 'Capital Gains'!F15</f>
        <v>569513.0335</v>
      </c>
      <c r="Y15" s="9">
        <f>IF(MAX(0, X15 - 20500)&lt;=0, 0, IF(MAX(0, X15 - 20500)&lt;=Assumptions!$B$20, MAX(0, X15 - 20500)*Assumptions!$C$19, IF(MAX(0, X15 - 20500)&lt;=Assumptions!$B$21, Assumptions!$D$20 + (MAX(0, X15 - 20500)-Assumptions!$B$20)*Assumptions!$C$20, IF(MAX(0, X15 - 20500)&lt;=Assumptions!$B$22, Assumptions!$D$21 + (MAX(0, X15 - 20500)-Assumptions!$B$21)*Assumptions!$C$21, IF(MAX(0, X15 - 20500)&lt;=Assumptions!$B$23, Assumptions!$D$22 + (MAX(0, X15 - 20500)-Assumptions!$B$22)*Assumptions!$C$22, IF(MAX(0, X15 - 20500)&lt;=Assumptions!$B$24, Assumptions!$D$23 + (MAX(0, X15 - 20500)-Assumptions!$B$23)*Assumptions!$C$23, IF(MAX(0, X15 - 20500)&lt;=Assumptions!$B$25, Assumptions!$D$24 + (MAX(0, X15 - 20500)-Assumptions!$B$25)*Assumptions!$C$24, Assumptions!$D$25 + (MAX(0, X15 - 20500)-Assumptions!$B$25)*Assumptions!$C$25)))))))</f>
        <v>30929.63024</v>
      </c>
      <c r="Z15" s="9">
        <f t="shared" si="10"/>
        <v>49661.98833</v>
      </c>
      <c r="AA15" s="9">
        <f>H15 + MIN(J15, 'Capital Gains'!F15)</f>
        <v>0</v>
      </c>
    </row>
    <row r="16" ht="15.75" customHeight="1">
      <c r="A16" s="7">
        <v>2040.0</v>
      </c>
      <c r="B16" s="9">
        <f>'Outside Income'!D16 * 0.85</f>
        <v>48755.91613</v>
      </c>
      <c r="C16" s="9">
        <f>'Outside Income'!E16</f>
        <v>116400.6882</v>
      </c>
      <c r="D16" s="9">
        <f>IF('Capital Gains'!G16&lt;=0, 0, 'Outside Income'!G16)</f>
        <v>4064.7509</v>
      </c>
      <c r="E16" s="9" t="str">
        <f>'Inherited and Roth IRA'!K16</f>
        <v/>
      </c>
      <c r="F16" s="9">
        <f>IF('Capital Gains'!F16&lt;=0, 0, MIN(MAX(0, 'Schedule A'!P16 - D16), 'Capital Gains'!F16))</f>
        <v>289305.4648</v>
      </c>
      <c r="G16" s="9">
        <f t="shared" si="1"/>
        <v>458526.8201</v>
      </c>
      <c r="H16" s="9">
        <v>0.0</v>
      </c>
      <c r="I16" s="9">
        <f t="shared" si="2"/>
        <v>458526.8201</v>
      </c>
      <c r="J16" s="9">
        <v>0.0</v>
      </c>
      <c r="K16" s="9">
        <f>IF('Capital Gains'!G16&lt;=0, 0, MAX(0, 'Capital Gains'!F16 - F16))</f>
        <v>194219.3716</v>
      </c>
      <c r="L16" s="9">
        <f>IF('Capital Gains'!G16&lt;=0, 0, MAX(0, K16 - J16))</f>
        <v>194219.3716</v>
      </c>
      <c r="M16" s="9">
        <f t="shared" si="4"/>
        <v>652746.1916</v>
      </c>
      <c r="N16" s="9">
        <f>'Schedule A'!M16</f>
        <v>349407.2513</v>
      </c>
      <c r="O16" s="9">
        <f t="shared" si="5"/>
        <v>109119.5687</v>
      </c>
      <c r="P16" s="9">
        <f>IF(O16&lt;=0, 0, IF(O16&lt;=Assumptions!$B$30, O16*Assumptions!$C$29, IF(O16&lt;=Assumptions!$B$31, Assumptions!$D$30 + (O16-Assumptions!$B$30)*Assumptions!$C$30, IF(O16&lt;=Assumptions!$B$32, Assumptions!$D$31 + (O16-Assumptions!$B$31)*Assumptions!$C$31, IF(O16&lt;=Assumptions!$B$33, Assumptions!$D$32 + (O16-Assumptions!$B$32)*Assumptions!$C$32, IF(O16&lt;=Assumptions!$B$34, Assumptions!$D$33 + (O16-Assumptions!$B$33)*Assumptions!$C$33, IF(O16&lt;=Assumptions!$B$35, Assumptions!$D$34 + (O16-Assumptions!$B$34)*Assumptions!$C$34, Assumptions!$D$35 + (O16-Assumptions!$B$35)*Assumptions!$C$35)))))))</f>
        <v>14112.30512</v>
      </c>
      <c r="Q16" s="9">
        <f t="shared" si="6"/>
        <v>194219.3716</v>
      </c>
      <c r="R16" s="9">
        <f>IF('Capital Gains'!G16&lt;=0, 0, MIN('Schedule A'!R16, L16))</f>
        <v>0</v>
      </c>
      <c r="S16" s="9">
        <f t="shared" si="7"/>
        <v>0</v>
      </c>
      <c r="T16" s="9">
        <f>IF('Capital Gains'!G16&lt;=0, 0, MAX(0, L16 - S16))</f>
        <v>194219.3716</v>
      </c>
      <c r="U16" s="9">
        <f>IF(T16&lt;=0, 0, IF((O16+T16)&lt;=Assumptions!$B$46, 0, IF(O16&gt;=Assumptions!$B$46, T16*Assumptions!$C$46, (O16+T16-Assumptions!$B$46)*Assumptions!$C$46)))</f>
        <v>0</v>
      </c>
      <c r="V16" s="9">
        <f t="shared" si="8"/>
        <v>7534.796654</v>
      </c>
      <c r="W16" s="9">
        <f t="shared" si="9"/>
        <v>21647.10177</v>
      </c>
      <c r="X16" s="9">
        <f>C16 + D16 + E16 + 'Capital Gains'!F16</f>
        <v>603990.2755</v>
      </c>
      <c r="Y16" s="9">
        <f>IF(MAX(0, X16 - 20500)&lt;=0, 0, IF(MAX(0, X16 - 20500)&lt;=Assumptions!$B$20, MAX(0, X16 - 20500)*Assumptions!$C$19, IF(MAX(0, X16 - 20500)&lt;=Assumptions!$B$21, Assumptions!$D$20 + (MAX(0, X16 - 20500)-Assumptions!$B$20)*Assumptions!$C$20, IF(MAX(0, X16 - 20500)&lt;=Assumptions!$B$22, Assumptions!$D$21 + (MAX(0, X16 - 20500)-Assumptions!$B$21)*Assumptions!$C$21, IF(MAX(0, X16 - 20500)&lt;=Assumptions!$B$23, Assumptions!$D$22 + (MAX(0, X16 - 20500)-Assumptions!$B$22)*Assumptions!$C$22, IF(MAX(0, X16 - 20500)&lt;=Assumptions!$B$24, Assumptions!$D$23 + (MAX(0, X16 - 20500)-Assumptions!$B$23)*Assumptions!$C$23, IF(MAX(0, X16 - 20500)&lt;=Assumptions!$B$25, Assumptions!$D$24 + (MAX(0, X16 - 20500)-Assumptions!$B$25)*Assumptions!$C$24, Assumptions!$D$25 + (MAX(0, X16 - 20500)-Assumptions!$B$25)*Assumptions!$C$25)))))))</f>
        <v>33125.83055</v>
      </c>
      <c r="Z16" s="9">
        <f t="shared" si="10"/>
        <v>54772.93232</v>
      </c>
      <c r="AA16" s="9">
        <f>H16 + MIN(J16, 'Capital Gains'!F16)</f>
        <v>0</v>
      </c>
    </row>
    <row r="17" ht="15.75" customHeight="1">
      <c r="A17" s="7">
        <v>2041.0</v>
      </c>
      <c r="B17" s="9">
        <f>'Outside Income'!D17 * 0.85</f>
        <v>49243.4753</v>
      </c>
      <c r="C17" s="9">
        <f>'Outside Income'!E17</f>
        <v>128040.757</v>
      </c>
      <c r="D17" s="9">
        <f>IF('Capital Gains'!G17&lt;=0, 0, 'Outside Income'!G17)</f>
        <v>1546.123944</v>
      </c>
      <c r="E17" s="9" t="str">
        <f>'Inherited and Roth IRA'!K17</f>
        <v/>
      </c>
      <c r="F17" s="9">
        <f>IF('Capital Gains'!F17&lt;=0, 0, MIN(MAX(0, 'Schedule A'!P17 - D17), 'Capital Gains'!F17))</f>
        <v>287706.7679</v>
      </c>
      <c r="G17" s="9">
        <f t="shared" si="1"/>
        <v>466537.1242</v>
      </c>
      <c r="H17" s="9">
        <v>0.0</v>
      </c>
      <c r="I17" s="9">
        <f t="shared" si="2"/>
        <v>466537.1242</v>
      </c>
      <c r="J17" s="9">
        <v>0.0</v>
      </c>
      <c r="K17" s="9">
        <f>IF('Capital Gains'!G17&lt;=0, 0, MAX(0, 'Capital Gains'!F17 - F17))</f>
        <v>0</v>
      </c>
      <c r="L17" s="9">
        <f>IF('Capital Gains'!G17&lt;=0, 0, MAX(0, K17 - J17))</f>
        <v>0</v>
      </c>
      <c r="M17" s="9">
        <f t="shared" si="4"/>
        <v>466537.1242</v>
      </c>
      <c r="N17" s="9">
        <f>'Schedule A'!M17</f>
        <v>359255.6075</v>
      </c>
      <c r="O17" s="9">
        <f t="shared" si="5"/>
        <v>107281.5166</v>
      </c>
      <c r="P17" s="9">
        <f>IF(O17&lt;=0, 0, IF(O17&lt;=Assumptions!$B$30, O17*Assumptions!$C$29, IF(O17&lt;=Assumptions!$B$31, Assumptions!$D$30 + (O17-Assumptions!$B$30)*Assumptions!$C$30, IF(O17&lt;=Assumptions!$B$32, Assumptions!$D$31 + (O17-Assumptions!$B$31)*Assumptions!$C$31, IF(O17&lt;=Assumptions!$B$33, Assumptions!$D$32 + (O17-Assumptions!$B$32)*Assumptions!$C$32, IF(O17&lt;=Assumptions!$B$34, Assumptions!$D$33 + (O17-Assumptions!$B$33)*Assumptions!$C$33, IF(O17&lt;=Assumptions!$B$35, Assumptions!$D$34 + (O17-Assumptions!$B$34)*Assumptions!$C$34, Assumptions!$D$35 + (O17-Assumptions!$B$35)*Assumptions!$C$35)))))))</f>
        <v>13707.93366</v>
      </c>
      <c r="Q17" s="9">
        <f t="shared" si="6"/>
        <v>0</v>
      </c>
      <c r="R17" s="9">
        <f>IF('Capital Gains'!G17&lt;=0, 0, MIN('Schedule A'!R17, L17))</f>
        <v>0</v>
      </c>
      <c r="S17" s="9">
        <f t="shared" si="7"/>
        <v>0</v>
      </c>
      <c r="T17" s="9">
        <f>IF('Capital Gains'!G17&lt;=0, 0, MAX(0, L17 - S17))</f>
        <v>0</v>
      </c>
      <c r="U17" s="9">
        <f>IF(T17&lt;=0, 0, IF((O17+T17)&lt;=Assumptions!$B$46, 0, IF(O17&gt;=Assumptions!$B$46, T17*Assumptions!$C$46, (O17+T17-Assumptions!$B$46)*Assumptions!$C$46)))</f>
        <v>0</v>
      </c>
      <c r="V17" s="9">
        <f t="shared" si="8"/>
        <v>58.75270988</v>
      </c>
      <c r="W17" s="9">
        <f t="shared" si="9"/>
        <v>13766.68637</v>
      </c>
      <c r="X17" s="9">
        <f>C17 + D17 + E17 + 'Capital Gains'!F17</f>
        <v>417293.6489</v>
      </c>
      <c r="Y17" s="9">
        <f>IF(MAX(0, X17 - 20500)&lt;=0, 0, IF(MAX(0, X17 - 20500)&lt;=Assumptions!$B$20, MAX(0, X17 - 20500)*Assumptions!$C$19, IF(MAX(0, X17 - 20500)&lt;=Assumptions!$B$21, Assumptions!$D$20 + (MAX(0, X17 - 20500)-Assumptions!$B$20)*Assumptions!$C$20, IF(MAX(0, X17 - 20500)&lt;=Assumptions!$B$22, Assumptions!$D$21 + (MAX(0, X17 - 20500)-Assumptions!$B$21)*Assumptions!$C$21, IF(MAX(0, X17 - 20500)&lt;=Assumptions!$B$23, Assumptions!$D$22 + (MAX(0, X17 - 20500)-Assumptions!$B$22)*Assumptions!$C$22, IF(MAX(0, X17 - 20500)&lt;=Assumptions!$B$24, Assumptions!$D$23 + (MAX(0, X17 - 20500)-Assumptions!$B$23)*Assumptions!$C$23, IF(MAX(0, X17 - 20500)&lt;=Assumptions!$B$25, Assumptions!$D$24 + (MAX(0, X17 - 20500)-Assumptions!$B$25)*Assumptions!$C$24, Assumptions!$D$25 + (MAX(0, X17 - 20500)-Assumptions!$B$25)*Assumptions!$C$25)))))))</f>
        <v>21233.25543</v>
      </c>
      <c r="Z17" s="9">
        <f t="shared" si="10"/>
        <v>34999.9418</v>
      </c>
      <c r="AA17" s="9">
        <f>H17 + MIN(J17, 'Capital Gains'!F17)</f>
        <v>0</v>
      </c>
    </row>
    <row r="18" ht="15.75" customHeight="1">
      <c r="A18" s="7">
        <v>2042.0</v>
      </c>
      <c r="B18" s="9">
        <f>'Outside Income'!D18 * 0.85</f>
        <v>49735.91005</v>
      </c>
      <c r="C18" s="9">
        <f>'Outside Income'!E18</f>
        <v>140844.8327</v>
      </c>
      <c r="D18" s="9">
        <f>IF('Capital Gains'!G18&lt;=0, 0, 'Outside Income'!G18)</f>
        <v>0</v>
      </c>
      <c r="E18" s="9" t="str">
        <f>'Inherited and Roth IRA'!K18</f>
        <v/>
      </c>
      <c r="F18" s="9">
        <f>IF('Capital Gains'!F18&lt;=0, 0, MIN(MAX(0, 'Schedule A'!P18 - D18), 'Capital Gains'!F18))</f>
        <v>0</v>
      </c>
      <c r="G18" s="9">
        <f t="shared" si="1"/>
        <v>190580.7428</v>
      </c>
      <c r="H18" s="9">
        <v>0.0</v>
      </c>
      <c r="I18" s="9">
        <f t="shared" si="2"/>
        <v>190580.7428</v>
      </c>
      <c r="J18" s="9">
        <v>0.0</v>
      </c>
      <c r="K18" s="9">
        <f>IF('Capital Gains'!G18&lt;=0, 0, MAX(0, 'Capital Gains'!F18 - F18))</f>
        <v>0</v>
      </c>
      <c r="L18" s="9">
        <f>IF('Capital Gains'!G18&lt;=0, 0, MAX(0, K18 - J18))</f>
        <v>0</v>
      </c>
      <c r="M18" s="9">
        <f t="shared" si="4"/>
        <v>190580.7428</v>
      </c>
      <c r="N18" s="9">
        <f>'Schedule A'!M18</f>
        <v>90699.44429</v>
      </c>
      <c r="O18" s="9">
        <f t="shared" si="5"/>
        <v>99881.29848</v>
      </c>
      <c r="P18" s="9">
        <f>IF(O18&lt;=0, 0, IF(O18&lt;=Assumptions!$B$30, O18*Assumptions!$C$29, IF(O18&lt;=Assumptions!$B$31, Assumptions!$D$30 + (O18-Assumptions!$B$30)*Assumptions!$C$30, IF(O18&lt;=Assumptions!$B$32, Assumptions!$D$31 + (O18-Assumptions!$B$31)*Assumptions!$C$31, IF(O18&lt;=Assumptions!$B$33, Assumptions!$D$32 + (O18-Assumptions!$B$32)*Assumptions!$C$32, IF(O18&lt;=Assumptions!$B$34, Assumptions!$D$33 + (O18-Assumptions!$B$33)*Assumptions!$C$33, IF(O18&lt;=Assumptions!$B$35, Assumptions!$D$34 + (O18-Assumptions!$B$34)*Assumptions!$C$34, Assumptions!$D$35 + (O18-Assumptions!$B$35)*Assumptions!$C$35)))))))</f>
        <v>12079.88567</v>
      </c>
      <c r="Q18" s="9">
        <f t="shared" si="6"/>
        <v>0</v>
      </c>
      <c r="R18" s="9">
        <f>IF('Capital Gains'!G18&lt;=0, 0, MIN('Schedule A'!R18, L18))</f>
        <v>0</v>
      </c>
      <c r="S18" s="9">
        <f t="shared" si="7"/>
        <v>0</v>
      </c>
      <c r="T18" s="9">
        <f>IF('Capital Gains'!G18&lt;=0, 0, MAX(0, L18 - S18))</f>
        <v>0</v>
      </c>
      <c r="U18" s="9">
        <f>IF(T18&lt;=0, 0, IF((O18+T18)&lt;=Assumptions!$B$46, 0, IF(O18&gt;=Assumptions!$B$46, T18*Assumptions!$C$46, (O18+T18-Assumptions!$B$46)*Assumptions!$C$46)))</f>
        <v>0</v>
      </c>
      <c r="V18" s="9">
        <f t="shared" si="8"/>
        <v>0</v>
      </c>
      <c r="W18" s="9">
        <f t="shared" si="9"/>
        <v>12079.88567</v>
      </c>
      <c r="X18" s="9">
        <f>C18 + D18 + E18 + 'Capital Gains'!F18</f>
        <v>140844.8327</v>
      </c>
      <c r="Y18" s="9">
        <f>IF(MAX(0, X18 - 20500)&lt;=0, 0, IF(MAX(0, X18 - 20500)&lt;=Assumptions!$B$20, MAX(0, X18 - 20500)*Assumptions!$C$19, IF(MAX(0, X18 - 20500)&lt;=Assumptions!$B$21, Assumptions!$D$20 + (MAX(0, X18 - 20500)-Assumptions!$B$20)*Assumptions!$C$20, IF(MAX(0, X18 - 20500)&lt;=Assumptions!$B$22, Assumptions!$D$21 + (MAX(0, X18 - 20500)-Assumptions!$B$21)*Assumptions!$C$21, IF(MAX(0, X18 - 20500)&lt;=Assumptions!$B$23, Assumptions!$D$22 + (MAX(0, X18 - 20500)-Assumptions!$B$22)*Assumptions!$C$22, IF(MAX(0, X18 - 20500)&lt;=Assumptions!$B$24, Assumptions!$D$23 + (MAX(0, X18 - 20500)-Assumptions!$B$23)*Assumptions!$C$23, IF(MAX(0, X18 - 20500)&lt;=Assumptions!$B$25, Assumptions!$D$24 + (MAX(0, X18 - 20500)-Assumptions!$B$25)*Assumptions!$C$24, Assumptions!$D$25 + (MAX(0, X18 - 20500)-Assumptions!$B$25)*Assumptions!$C$25)))))))</f>
        <v>5.069249798</v>
      </c>
      <c r="Z18" s="9">
        <f t="shared" si="10"/>
        <v>12084.95492</v>
      </c>
      <c r="AA18" s="9">
        <f>H18 + MIN(J18, 'Capital Gains'!F18)</f>
        <v>0</v>
      </c>
    </row>
    <row r="19" ht="15.75" customHeight="1">
      <c r="A19" s="7">
        <v>2043.0</v>
      </c>
      <c r="B19" s="9">
        <f>'Outside Income'!D19 * 0.85</f>
        <v>50233.26915</v>
      </c>
      <c r="C19" s="9">
        <f>'Outside Income'!E19</f>
        <v>154929.316</v>
      </c>
      <c r="D19" s="9">
        <f>IF('Capital Gains'!G19&lt;=0, 0, 'Outside Income'!G19)</f>
        <v>0</v>
      </c>
      <c r="E19" s="9" t="str">
        <f>'Inherited and Roth IRA'!K19</f>
        <v/>
      </c>
      <c r="F19" s="9">
        <f>IF('Capital Gains'!F19&lt;=0, 0, MIN(MAX(0, 'Schedule A'!P19 - D19), 'Capital Gains'!F19))</f>
        <v>0</v>
      </c>
      <c r="G19" s="9">
        <f t="shared" si="1"/>
        <v>205162.5851</v>
      </c>
      <c r="H19" s="9">
        <v>0.0</v>
      </c>
      <c r="I19" s="9">
        <f t="shared" si="2"/>
        <v>205162.5851</v>
      </c>
      <c r="J19" s="9">
        <v>0.0</v>
      </c>
      <c r="K19" s="9">
        <f>IF('Capital Gains'!G19&lt;=0, 0, MAX(0, 'Capital Gains'!F19 - F19))</f>
        <v>0</v>
      </c>
      <c r="L19" s="9">
        <f>IF('Capital Gains'!G19&lt;=0, 0, MAX(0, K19 - J19))</f>
        <v>0</v>
      </c>
      <c r="M19" s="9">
        <f t="shared" si="4"/>
        <v>205162.5851</v>
      </c>
      <c r="N19" s="9">
        <f>'Schedule A'!M19</f>
        <v>89605.80611</v>
      </c>
      <c r="O19" s="9">
        <f t="shared" si="5"/>
        <v>115556.779</v>
      </c>
      <c r="P19" s="9">
        <f>IF(O19&lt;=0, 0, IF(O19&lt;=Assumptions!$B$30, O19*Assumptions!$C$29, IF(O19&lt;=Assumptions!$B$31, Assumptions!$D$30 + (O19-Assumptions!$B$30)*Assumptions!$C$30, IF(O19&lt;=Assumptions!$B$32, Assumptions!$D$31 + (O19-Assumptions!$B$31)*Assumptions!$C$31, IF(O19&lt;=Assumptions!$B$33, Assumptions!$D$32 + (O19-Assumptions!$B$32)*Assumptions!$C$32, IF(O19&lt;=Assumptions!$B$34, Assumptions!$D$33 + (O19-Assumptions!$B$33)*Assumptions!$C$33, IF(O19&lt;=Assumptions!$B$35, Assumptions!$D$34 + (O19-Assumptions!$B$34)*Assumptions!$C$34, Assumptions!$D$35 + (O19-Assumptions!$B$35)*Assumptions!$C$35)))))))</f>
        <v>15528.49139</v>
      </c>
      <c r="Q19" s="9">
        <f t="shared" si="6"/>
        <v>0</v>
      </c>
      <c r="R19" s="9">
        <f>IF('Capital Gains'!G19&lt;=0, 0, MIN('Schedule A'!R19, L19))</f>
        <v>0</v>
      </c>
      <c r="S19" s="9">
        <f t="shared" si="7"/>
        <v>0</v>
      </c>
      <c r="T19" s="9">
        <f>IF('Capital Gains'!G19&lt;=0, 0, MAX(0, L19 - S19))</f>
        <v>0</v>
      </c>
      <c r="U19" s="9">
        <f>IF(T19&lt;=0, 0, IF((O19+T19)&lt;=Assumptions!$B$46, 0, IF(O19&gt;=Assumptions!$B$46, T19*Assumptions!$C$46, (O19+T19-Assumptions!$B$46)*Assumptions!$C$46)))</f>
        <v>0</v>
      </c>
      <c r="V19" s="9">
        <f t="shared" si="8"/>
        <v>0</v>
      </c>
      <c r="W19" s="9">
        <f t="shared" si="9"/>
        <v>15528.49139</v>
      </c>
      <c r="X19" s="9">
        <f>C19 + D19 + E19 + 'Capital Gains'!F19</f>
        <v>154929.316</v>
      </c>
      <c r="Y19" s="9">
        <f>IF(MAX(0, X19 - 20500)&lt;=0, 0, IF(MAX(0, X19 - 20500)&lt;=Assumptions!$B$20, MAX(0, X19 - 20500)*Assumptions!$C$19, IF(MAX(0, X19 - 20500)&lt;=Assumptions!$B$21, Assumptions!$D$20 + (MAX(0, X19 - 20500)-Assumptions!$B$20)*Assumptions!$C$20, IF(MAX(0, X19 - 20500)&lt;=Assumptions!$B$22, Assumptions!$D$21 + (MAX(0, X19 - 20500)-Assumptions!$B$21)*Assumptions!$C$21, IF(MAX(0, X19 - 20500)&lt;=Assumptions!$B$23, Assumptions!$D$22 + (MAX(0, X19 - 20500)-Assumptions!$B$22)*Assumptions!$C$22, IF(MAX(0, X19 - 20500)&lt;=Assumptions!$B$24, Assumptions!$D$23 + (MAX(0, X19 - 20500)-Assumptions!$B$23)*Assumptions!$C$23, IF(MAX(0, X19 - 20500)&lt;=Assumptions!$B$25, Assumptions!$D$24 + (MAX(0, X19 - 20500)-Assumptions!$B$25)*Assumptions!$C$24, Assumptions!$D$25 + (MAX(0, X19 - 20500)-Assumptions!$B$25)*Assumptions!$C$25)))))))</f>
        <v>783.9411748</v>
      </c>
      <c r="Z19" s="9">
        <f t="shared" si="10"/>
        <v>16312.43256</v>
      </c>
      <c r="AA19" s="9">
        <f>H19 + MIN(J19, 'Capital Gains'!F19)</f>
        <v>0</v>
      </c>
    </row>
    <row r="20" ht="15.75" customHeight="1">
      <c r="A20" s="7">
        <v>2044.0</v>
      </c>
      <c r="B20" s="9">
        <f>'Outside Income'!D20 * 0.85</f>
        <v>50735.60184</v>
      </c>
      <c r="C20" s="9">
        <f>'Outside Income'!E20</f>
        <v>85211.1238</v>
      </c>
      <c r="D20" s="9">
        <f>IF('Capital Gains'!G20&lt;=0, 0, 'Outside Income'!G20)</f>
        <v>0</v>
      </c>
      <c r="E20" s="9" t="str">
        <f>'Inherited and Roth IRA'!K20</f>
        <v/>
      </c>
      <c r="F20" s="9">
        <f>IF('Capital Gains'!F20&lt;=0, 0, MIN(MAX(0, 'Schedule A'!P20 - D20), 'Capital Gains'!F20))</f>
        <v>0</v>
      </c>
      <c r="G20" s="9">
        <f t="shared" si="1"/>
        <v>135946.7256</v>
      </c>
      <c r="H20" s="9">
        <v>0.0</v>
      </c>
      <c r="I20" s="9">
        <f t="shared" si="2"/>
        <v>135946.7256</v>
      </c>
      <c r="J20" s="9">
        <v>0.0</v>
      </c>
      <c r="K20" s="9">
        <f>IF('Capital Gains'!G20&lt;=0, 0, MAX(0, 'Capital Gains'!F20 - F20))</f>
        <v>0</v>
      </c>
      <c r="L20" s="9">
        <f>IF('Capital Gains'!G20&lt;=0, 0, MAX(0, K20 - J20))</f>
        <v>0</v>
      </c>
      <c r="M20" s="9">
        <f t="shared" si="4"/>
        <v>135946.7256</v>
      </c>
      <c r="N20" s="9">
        <f>'Schedule A'!M20</f>
        <v>94796.99558</v>
      </c>
      <c r="O20" s="9">
        <f t="shared" si="5"/>
        <v>41149.73006</v>
      </c>
      <c r="P20" s="9">
        <f>IF(O20&lt;=0, 0, IF(O20&lt;=Assumptions!$B$30, O20*Assumptions!$C$29, IF(O20&lt;=Assumptions!$B$31, Assumptions!$D$30 + (O20-Assumptions!$B$30)*Assumptions!$C$30, IF(O20&lt;=Assumptions!$B$32, Assumptions!$D$31 + (O20-Assumptions!$B$31)*Assumptions!$C$31, IF(O20&lt;=Assumptions!$B$33, Assumptions!$D$32 + (O20-Assumptions!$B$32)*Assumptions!$C$32, IF(O20&lt;=Assumptions!$B$34, Assumptions!$D$33 + (O20-Assumptions!$B$33)*Assumptions!$C$33, IF(O20&lt;=Assumptions!$B$35, Assumptions!$D$34 + (O20-Assumptions!$B$34)*Assumptions!$C$34, Assumptions!$D$35 + (O20-Assumptions!$B$35)*Assumptions!$C$35)))))))</f>
        <v>4473.967608</v>
      </c>
      <c r="Q20" s="9">
        <f t="shared" si="6"/>
        <v>0</v>
      </c>
      <c r="R20" s="9">
        <f>IF('Capital Gains'!G20&lt;=0, 0, MIN('Schedule A'!R20, L20))</f>
        <v>0</v>
      </c>
      <c r="S20" s="9">
        <f t="shared" si="7"/>
        <v>0</v>
      </c>
      <c r="T20" s="9">
        <f>IF('Capital Gains'!G20&lt;=0, 0, MAX(0, L20 - S20))</f>
        <v>0</v>
      </c>
      <c r="U20" s="9">
        <f>IF(T20&lt;=0, 0, IF((O20+T20)&lt;=Assumptions!$B$46, 0, IF(O20&gt;=Assumptions!$B$46, T20*Assumptions!$C$46, (O20+T20-Assumptions!$B$46)*Assumptions!$C$46)))</f>
        <v>0</v>
      </c>
      <c r="V20" s="9">
        <f t="shared" si="8"/>
        <v>0</v>
      </c>
      <c r="W20" s="9">
        <f t="shared" si="9"/>
        <v>4473.967608</v>
      </c>
      <c r="X20" s="9">
        <f>C20 + D20 + E20 + 'Capital Gains'!F20</f>
        <v>85211.1238</v>
      </c>
      <c r="Y20" s="9">
        <f>IF(MAX(0, X20 - 20500)&lt;=0, 0, IF(MAX(0, X20 - 20500)&lt;=Assumptions!$B$20, MAX(0, X20 - 20500)*Assumptions!$C$19, IF(MAX(0, X20 - 20500)&lt;=Assumptions!$B$21, Assumptions!$D$20 + (MAX(0, X20 - 20500)-Assumptions!$B$20)*Assumptions!$C$20, IF(MAX(0, X20 - 20500)&lt;=Assumptions!$B$22, Assumptions!$D$21 + (MAX(0, X20 - 20500)-Assumptions!$B$21)*Assumptions!$C$21, IF(MAX(0, X20 - 20500)&lt;=Assumptions!$B$23, Assumptions!$D$22 + (MAX(0, X20 - 20500)-Assumptions!$B$22)*Assumptions!$C$22, IF(MAX(0, X20 - 20500)&lt;=Assumptions!$B$24, Assumptions!$D$23 + (MAX(0, X20 - 20500)-Assumptions!$B$23)*Assumptions!$C$23, IF(MAX(0, X20 - 20500)&lt;=Assumptions!$B$25, Assumptions!$D$24 + (MAX(0, X20 - 20500)-Assumptions!$B$25)*Assumptions!$C$24, Assumptions!$D$25 + (MAX(0, X20 - 20500)-Assumptions!$B$25)*Assumptions!$C$25)))))))</f>
        <v>1165.422533</v>
      </c>
      <c r="Z20" s="9">
        <f t="shared" si="10"/>
        <v>5639.390141</v>
      </c>
      <c r="AA20" s="9">
        <f>H20 + MIN(J20, 'Capital Gains'!F20)</f>
        <v>0</v>
      </c>
    </row>
    <row r="21" ht="15.75" customHeight="1">
      <c r="A21" s="7">
        <v>2045.0</v>
      </c>
      <c r="B21" s="9">
        <f>'Outside Income'!D21 * 0.85</f>
        <v>51242.95786</v>
      </c>
      <c r="C21" s="9">
        <f>'Outside Income'!E21</f>
        <v>0</v>
      </c>
      <c r="D21" s="9">
        <f>IF('Capital Gains'!G21&lt;=0, 0, 'Outside Income'!G21)</f>
        <v>0</v>
      </c>
      <c r="E21" s="9" t="str">
        <f>'Inherited and Roth IRA'!K21</f>
        <v/>
      </c>
      <c r="F21" s="9">
        <f>IF('Capital Gains'!F21&lt;=0, 0, MIN(MAX(0, 'Schedule A'!P21 - D21), 'Capital Gains'!F21))</f>
        <v>0</v>
      </c>
      <c r="G21" s="9">
        <f t="shared" si="1"/>
        <v>51242.95786</v>
      </c>
      <c r="H21" s="9">
        <v>0.0</v>
      </c>
      <c r="I21" s="9">
        <f t="shared" si="2"/>
        <v>51242.95786</v>
      </c>
      <c r="J21" s="9">
        <v>0.0</v>
      </c>
      <c r="K21" s="9">
        <f>IF('Capital Gains'!G21&lt;=0, 0, MAX(0, 'Capital Gains'!F21 - F21))</f>
        <v>0</v>
      </c>
      <c r="L21" s="9">
        <f>IF('Capital Gains'!G21&lt;=0, 0, MAX(0, K21 - J21))</f>
        <v>0</v>
      </c>
      <c r="M21" s="9">
        <f t="shared" si="4"/>
        <v>51242.95786</v>
      </c>
      <c r="N21" s="9">
        <f>'Schedule A'!M21</f>
        <v>101149.7782</v>
      </c>
      <c r="O21" s="9">
        <f t="shared" si="5"/>
        <v>0</v>
      </c>
      <c r="P21" s="9">
        <f>IF(O21&lt;=0, 0, IF(O21&lt;=Assumptions!$B$30, O21*Assumptions!$C$29, IF(O21&lt;=Assumptions!$B$31, Assumptions!$D$30 + (O21-Assumptions!$B$30)*Assumptions!$C$30, IF(O21&lt;=Assumptions!$B$32, Assumptions!$D$31 + (O21-Assumptions!$B$31)*Assumptions!$C$31, IF(O21&lt;=Assumptions!$B$33, Assumptions!$D$32 + (O21-Assumptions!$B$32)*Assumptions!$C$32, IF(O21&lt;=Assumptions!$B$34, Assumptions!$D$33 + (O21-Assumptions!$B$33)*Assumptions!$C$33, IF(O21&lt;=Assumptions!$B$35, Assumptions!$D$34 + (O21-Assumptions!$B$34)*Assumptions!$C$34, Assumptions!$D$35 + (O21-Assumptions!$B$35)*Assumptions!$C$35)))))))</f>
        <v>0</v>
      </c>
      <c r="Q21" s="9">
        <f t="shared" si="6"/>
        <v>0</v>
      </c>
      <c r="R21" s="9">
        <f>IF('Capital Gains'!G21&lt;=0, 0, MIN('Schedule A'!R21, L21))</f>
        <v>0</v>
      </c>
      <c r="S21" s="9">
        <f t="shared" si="7"/>
        <v>49906.8203</v>
      </c>
      <c r="T21" s="9">
        <f>IF('Capital Gains'!G21&lt;=0, 0, MAX(0, L21 - S21))</f>
        <v>0</v>
      </c>
      <c r="U21" s="9">
        <f>IF(T21&lt;=0, 0, IF((O21+T21)&lt;=Assumptions!$B$46, 0, IF(O21&gt;=Assumptions!$B$46, T21*Assumptions!$C$46, (O21+T21-Assumptions!$B$46)*Assumptions!$C$46)))</f>
        <v>0</v>
      </c>
      <c r="V21" s="9">
        <f t="shared" si="8"/>
        <v>0</v>
      </c>
      <c r="W21" s="9">
        <f t="shared" si="9"/>
        <v>0</v>
      </c>
      <c r="X21" s="9">
        <f>C21 + D21 + E21 + 'Capital Gains'!F21</f>
        <v>0</v>
      </c>
      <c r="Y21" s="9">
        <f>IF(MAX(0, X21 - 20500)&lt;=0, 0, IF(MAX(0, X21 - 20500)&lt;=Assumptions!$B$20, MAX(0, X21 - 20500)*Assumptions!$C$19, IF(MAX(0, X21 - 20500)&lt;=Assumptions!$B$21, Assumptions!$D$20 + (MAX(0, X21 - 20500)-Assumptions!$B$20)*Assumptions!$C$20, IF(MAX(0, X21 - 20500)&lt;=Assumptions!$B$22, Assumptions!$D$21 + (MAX(0, X21 - 20500)-Assumptions!$B$21)*Assumptions!$C$21, IF(MAX(0, X21 - 20500)&lt;=Assumptions!$B$23, Assumptions!$D$22 + (MAX(0, X21 - 20500)-Assumptions!$B$22)*Assumptions!$C$22, IF(MAX(0, X21 - 20500)&lt;=Assumptions!$B$24, Assumptions!$D$23 + (MAX(0, X21 - 20500)-Assumptions!$B$23)*Assumptions!$C$23, IF(MAX(0, X21 - 20500)&lt;=Assumptions!$B$25, Assumptions!$D$24 + (MAX(0, X21 - 20500)-Assumptions!$B$25)*Assumptions!$C$24, Assumptions!$D$25 + (MAX(0, X21 - 20500)-Assumptions!$B$25)*Assumptions!$C$25)))))))</f>
        <v>0</v>
      </c>
      <c r="Z21" s="9">
        <f t="shared" si="10"/>
        <v>0</v>
      </c>
      <c r="AA21" s="9">
        <f>H21 + MIN(J21, 'Capital Gains'!F21)</f>
        <v>0</v>
      </c>
    </row>
    <row r="22" ht="15.75" customHeight="1">
      <c r="A22" s="7">
        <v>2046.0</v>
      </c>
      <c r="B22" s="9">
        <f>'Outside Income'!D22 * 0.85</f>
        <v>51755.38744</v>
      </c>
      <c r="C22" s="9">
        <f>'Outside Income'!E22</f>
        <v>0</v>
      </c>
      <c r="D22" s="9">
        <f>IF('Capital Gains'!G22&lt;=0, 0, 'Outside Income'!G22)</f>
        <v>0</v>
      </c>
      <c r="E22" s="9" t="str">
        <f>'Inherited and Roth IRA'!K22</f>
        <v/>
      </c>
      <c r="F22" s="9">
        <f>IF('Capital Gains'!F22&lt;=0, 0, MIN(MAX(0, 'Schedule A'!P22 - D22), 'Capital Gains'!F22))</f>
        <v>0</v>
      </c>
      <c r="G22" s="9">
        <f t="shared" si="1"/>
        <v>51755.38744</v>
      </c>
      <c r="H22" s="9">
        <v>0.0</v>
      </c>
      <c r="I22" s="9">
        <f t="shared" si="2"/>
        <v>51755.38744</v>
      </c>
      <c r="J22" s="9">
        <v>0.0</v>
      </c>
      <c r="K22" s="9">
        <f>IF('Capital Gains'!G22&lt;=0, 0, MAX(0, 'Capital Gains'!F22 - F22))</f>
        <v>0</v>
      </c>
      <c r="L22" s="9">
        <f>IF('Capital Gains'!G22&lt;=0, 0, MAX(0, K22 - J22))</f>
        <v>0</v>
      </c>
      <c r="M22" s="9">
        <f t="shared" si="4"/>
        <v>51755.38744</v>
      </c>
      <c r="N22" s="9">
        <f>'Schedule A'!M22</f>
        <v>101111.3459</v>
      </c>
      <c r="O22" s="9">
        <f t="shared" si="5"/>
        <v>0</v>
      </c>
      <c r="P22" s="9">
        <f>IF(O22&lt;=0, 0, IF(O22&lt;=Assumptions!$B$30, O22*Assumptions!$C$29, IF(O22&lt;=Assumptions!$B$31, Assumptions!$D$30 + (O22-Assumptions!$B$30)*Assumptions!$C$30, IF(O22&lt;=Assumptions!$B$32, Assumptions!$D$31 + (O22-Assumptions!$B$31)*Assumptions!$C$31, IF(O22&lt;=Assumptions!$B$33, Assumptions!$D$32 + (O22-Assumptions!$B$32)*Assumptions!$C$32, IF(O22&lt;=Assumptions!$B$34, Assumptions!$D$33 + (O22-Assumptions!$B$33)*Assumptions!$C$33, IF(O22&lt;=Assumptions!$B$35, Assumptions!$D$34 + (O22-Assumptions!$B$34)*Assumptions!$C$34, Assumptions!$D$35 + (O22-Assumptions!$B$35)*Assumptions!$C$35)))))))</f>
        <v>0</v>
      </c>
      <c r="Q22" s="9">
        <f t="shared" si="6"/>
        <v>0</v>
      </c>
      <c r="R22" s="9">
        <f>IF('Capital Gains'!G22&lt;=0, 0, MIN('Schedule A'!R22, L22))</f>
        <v>0</v>
      </c>
      <c r="S22" s="9">
        <f t="shared" si="7"/>
        <v>49355.95851</v>
      </c>
      <c r="T22" s="9">
        <f>IF('Capital Gains'!G22&lt;=0, 0, MAX(0, L22 - S22))</f>
        <v>0</v>
      </c>
      <c r="U22" s="9">
        <f>IF(T22&lt;=0, 0, IF((O22+T22)&lt;=Assumptions!$B$46, 0, IF(O22&gt;=Assumptions!$B$46, T22*Assumptions!$C$46, (O22+T22-Assumptions!$B$46)*Assumptions!$C$46)))</f>
        <v>0</v>
      </c>
      <c r="V22" s="9">
        <f t="shared" si="8"/>
        <v>0</v>
      </c>
      <c r="W22" s="9">
        <f t="shared" si="9"/>
        <v>0</v>
      </c>
      <c r="X22" s="9">
        <f>C22 + D22 + E22 + 'Capital Gains'!F22</f>
        <v>0</v>
      </c>
      <c r="Y22" s="9">
        <f>IF(MAX(0, X22 - 20500)&lt;=0, 0, IF(MAX(0, X22 - 20500)&lt;=Assumptions!$B$20, MAX(0, X22 - 20500)*Assumptions!$C$19, IF(MAX(0, X22 - 20500)&lt;=Assumptions!$B$21, Assumptions!$D$20 + (MAX(0, X22 - 20500)-Assumptions!$B$20)*Assumptions!$C$20, IF(MAX(0, X22 - 20500)&lt;=Assumptions!$B$22, Assumptions!$D$21 + (MAX(0, X22 - 20500)-Assumptions!$B$21)*Assumptions!$C$21, IF(MAX(0, X22 - 20500)&lt;=Assumptions!$B$23, Assumptions!$D$22 + (MAX(0, X22 - 20500)-Assumptions!$B$22)*Assumptions!$C$22, IF(MAX(0, X22 - 20500)&lt;=Assumptions!$B$24, Assumptions!$D$23 + (MAX(0, X22 - 20500)-Assumptions!$B$23)*Assumptions!$C$23, IF(MAX(0, X22 - 20500)&lt;=Assumptions!$B$25, Assumptions!$D$24 + (MAX(0, X22 - 20500)-Assumptions!$B$25)*Assumptions!$C$24, Assumptions!$D$25 + (MAX(0, X22 - 20500)-Assumptions!$B$25)*Assumptions!$C$25)))))))</f>
        <v>0</v>
      </c>
      <c r="Z22" s="9">
        <f t="shared" si="10"/>
        <v>0</v>
      </c>
      <c r="AA22" s="9">
        <f>H22 + MIN(J22, 'Capital Gains'!F22)</f>
        <v>0</v>
      </c>
    </row>
    <row r="23" ht="15.75" customHeight="1">
      <c r="A23" s="7">
        <v>2047.0</v>
      </c>
      <c r="B23" s="9">
        <f>'Outside Income'!D23 * 0.85</f>
        <v>52272.94131</v>
      </c>
      <c r="C23" s="9">
        <f>'Outside Income'!E23</f>
        <v>0</v>
      </c>
      <c r="D23" s="9">
        <f>IF('Capital Gains'!G23&lt;=0, 0, 'Outside Income'!G23)</f>
        <v>0</v>
      </c>
      <c r="E23" s="9" t="str">
        <f>'Inherited and Roth IRA'!K23</f>
        <v/>
      </c>
      <c r="F23" s="9">
        <f>IF('Capital Gains'!F23&lt;=0, 0, MIN(MAX(0, 'Schedule A'!P23 - D23), 'Capital Gains'!F23))</f>
        <v>0</v>
      </c>
      <c r="G23" s="9">
        <f t="shared" si="1"/>
        <v>52272.94131</v>
      </c>
      <c r="H23" s="9">
        <v>0.0</v>
      </c>
      <c r="I23" s="9">
        <f t="shared" si="2"/>
        <v>52272.94131</v>
      </c>
      <c r="J23" s="9">
        <v>0.0</v>
      </c>
      <c r="K23" s="9">
        <f>IF('Capital Gains'!G23&lt;=0, 0, MAX(0, 'Capital Gains'!F23 - F23))</f>
        <v>0</v>
      </c>
      <c r="L23" s="9">
        <f>IF('Capital Gains'!G23&lt;=0, 0, MAX(0, K23 - J23))</f>
        <v>0</v>
      </c>
      <c r="M23" s="9">
        <f t="shared" si="4"/>
        <v>52272.94131</v>
      </c>
      <c r="N23" s="9">
        <f>'Schedule A'!M23</f>
        <v>101072.5294</v>
      </c>
      <c r="O23" s="9">
        <f t="shared" si="5"/>
        <v>0</v>
      </c>
      <c r="P23" s="9">
        <f>IF(O23&lt;=0, 0, IF(O23&lt;=Assumptions!$B$30, O23*Assumptions!$C$29, IF(O23&lt;=Assumptions!$B$31, Assumptions!$D$30 + (O23-Assumptions!$B$30)*Assumptions!$C$30, IF(O23&lt;=Assumptions!$B$32, Assumptions!$D$31 + (O23-Assumptions!$B$31)*Assumptions!$C$31, IF(O23&lt;=Assumptions!$B$33, Assumptions!$D$32 + (O23-Assumptions!$B$32)*Assumptions!$C$32, IF(O23&lt;=Assumptions!$B$34, Assumptions!$D$33 + (O23-Assumptions!$B$33)*Assumptions!$C$33, IF(O23&lt;=Assumptions!$B$35, Assumptions!$D$34 + (O23-Assumptions!$B$34)*Assumptions!$C$34, Assumptions!$D$35 + (O23-Assumptions!$B$35)*Assumptions!$C$35)))))))</f>
        <v>0</v>
      </c>
      <c r="Q23" s="9">
        <f t="shared" si="6"/>
        <v>0</v>
      </c>
      <c r="R23" s="9">
        <f>IF('Capital Gains'!G23&lt;=0, 0, MIN('Schedule A'!R23, L23))</f>
        <v>0</v>
      </c>
      <c r="S23" s="9">
        <f t="shared" si="7"/>
        <v>48799.58809</v>
      </c>
      <c r="T23" s="9">
        <f>IF('Capital Gains'!G23&lt;=0, 0, MAX(0, L23 - S23))</f>
        <v>0</v>
      </c>
      <c r="U23" s="9">
        <f>IF(T23&lt;=0, 0, IF((O23+T23)&lt;=Assumptions!$B$46, 0, IF(O23&gt;=Assumptions!$B$46, T23*Assumptions!$C$46, (O23+T23-Assumptions!$B$46)*Assumptions!$C$46)))</f>
        <v>0</v>
      </c>
      <c r="V23" s="9">
        <f t="shared" si="8"/>
        <v>0</v>
      </c>
      <c r="W23" s="9">
        <f t="shared" si="9"/>
        <v>0</v>
      </c>
      <c r="X23" s="9">
        <f>C23 + D23 + E23 + 'Capital Gains'!F23</f>
        <v>0</v>
      </c>
      <c r="Y23" s="9">
        <f>IF(MAX(0, X23 - 20500)&lt;=0, 0, IF(MAX(0, X23 - 20500)&lt;=Assumptions!$B$20, MAX(0, X23 - 20500)*Assumptions!$C$19, IF(MAX(0, X23 - 20500)&lt;=Assumptions!$B$21, Assumptions!$D$20 + (MAX(0, X23 - 20500)-Assumptions!$B$20)*Assumptions!$C$20, IF(MAX(0, X23 - 20500)&lt;=Assumptions!$B$22, Assumptions!$D$21 + (MAX(0, X23 - 20500)-Assumptions!$B$21)*Assumptions!$C$21, IF(MAX(0, X23 - 20500)&lt;=Assumptions!$B$23, Assumptions!$D$22 + (MAX(0, X23 - 20500)-Assumptions!$B$22)*Assumptions!$C$22, IF(MAX(0, X23 - 20500)&lt;=Assumptions!$B$24, Assumptions!$D$23 + (MAX(0, X23 - 20500)-Assumptions!$B$23)*Assumptions!$C$23, IF(MAX(0, X23 - 20500)&lt;=Assumptions!$B$25, Assumptions!$D$24 + (MAX(0, X23 - 20500)-Assumptions!$B$25)*Assumptions!$C$24, Assumptions!$D$25 + (MAX(0, X23 - 20500)-Assumptions!$B$25)*Assumptions!$C$25)))))))</f>
        <v>0</v>
      </c>
      <c r="Z23" s="9">
        <f t="shared" si="10"/>
        <v>0</v>
      </c>
      <c r="AA23" s="9">
        <f>H23 + MIN(J23, 'Capital Gains'!F23)</f>
        <v>0</v>
      </c>
    </row>
    <row r="24" ht="15.75" customHeight="1">
      <c r="A24" s="7">
        <v>2048.0</v>
      </c>
      <c r="B24" s="9">
        <f>'Outside Income'!D24 * 0.85</f>
        <v>52795.67072</v>
      </c>
      <c r="C24" s="9">
        <f>'Outside Income'!E24</f>
        <v>0</v>
      </c>
      <c r="D24" s="9">
        <f>IF('Capital Gains'!G24&lt;=0, 0, 'Outside Income'!G24)</f>
        <v>0</v>
      </c>
      <c r="E24" s="9" t="str">
        <f>'Inherited and Roth IRA'!K24</f>
        <v/>
      </c>
      <c r="F24" s="9">
        <f>IF('Capital Gains'!F24&lt;=0, 0, MIN(MAX(0, 'Schedule A'!P24 - D24), 'Capital Gains'!F24))</f>
        <v>0</v>
      </c>
      <c r="G24" s="9">
        <f t="shared" si="1"/>
        <v>52795.67072</v>
      </c>
      <c r="H24" s="9">
        <v>0.0</v>
      </c>
      <c r="I24" s="9">
        <f t="shared" si="2"/>
        <v>52795.67072</v>
      </c>
      <c r="J24" s="9">
        <v>0.0</v>
      </c>
      <c r="K24" s="9">
        <f>IF('Capital Gains'!G24&lt;=0, 0, MAX(0, 'Capital Gains'!F24 - F24))</f>
        <v>0</v>
      </c>
      <c r="L24" s="9">
        <f>IF('Capital Gains'!G24&lt;=0, 0, MAX(0, K24 - J24))</f>
        <v>0</v>
      </c>
      <c r="M24" s="9">
        <f t="shared" si="4"/>
        <v>52795.67072</v>
      </c>
      <c r="N24" s="9">
        <f>'Schedule A'!M24</f>
        <v>101033.3247</v>
      </c>
      <c r="O24" s="9">
        <f t="shared" si="5"/>
        <v>0</v>
      </c>
      <c r="P24" s="9">
        <f>IF(O24&lt;=0, 0, IF(O24&lt;=Assumptions!$B$30, O24*Assumptions!$C$29, IF(O24&lt;=Assumptions!$B$31, Assumptions!$D$30 + (O24-Assumptions!$B$30)*Assumptions!$C$30, IF(O24&lt;=Assumptions!$B$32, Assumptions!$D$31 + (O24-Assumptions!$B$31)*Assumptions!$C$31, IF(O24&lt;=Assumptions!$B$33, Assumptions!$D$32 + (O24-Assumptions!$B$32)*Assumptions!$C$32, IF(O24&lt;=Assumptions!$B$34, Assumptions!$D$33 + (O24-Assumptions!$B$33)*Assumptions!$C$33, IF(O24&lt;=Assumptions!$B$35, Assumptions!$D$34 + (O24-Assumptions!$B$34)*Assumptions!$C$34, Assumptions!$D$35 + (O24-Assumptions!$B$35)*Assumptions!$C$35)))))))</f>
        <v>0</v>
      </c>
      <c r="Q24" s="9">
        <f t="shared" si="6"/>
        <v>0</v>
      </c>
      <c r="R24" s="9">
        <f>IF('Capital Gains'!G24&lt;=0, 0, MIN('Schedule A'!R24, L24))</f>
        <v>0</v>
      </c>
      <c r="S24" s="9">
        <f t="shared" si="7"/>
        <v>48237.65397</v>
      </c>
      <c r="T24" s="9">
        <f>IF('Capital Gains'!G24&lt;=0, 0, MAX(0, L24 - S24))</f>
        <v>0</v>
      </c>
      <c r="U24" s="9">
        <f>IF(T24&lt;=0, 0, IF((O24+T24)&lt;=Assumptions!$B$46, 0, IF(O24&gt;=Assumptions!$B$46, T24*Assumptions!$C$46, (O24+T24-Assumptions!$B$46)*Assumptions!$C$46)))</f>
        <v>0</v>
      </c>
      <c r="V24" s="9">
        <f t="shared" si="8"/>
        <v>0</v>
      </c>
      <c r="W24" s="9">
        <f t="shared" si="9"/>
        <v>0</v>
      </c>
      <c r="X24" s="9">
        <f>C24 + D24 + E24 + 'Capital Gains'!F24</f>
        <v>0</v>
      </c>
      <c r="Y24" s="9">
        <f>IF(MAX(0, X24 - 20500)&lt;=0, 0, IF(MAX(0, X24 - 20500)&lt;=Assumptions!$B$20, MAX(0, X24 - 20500)*Assumptions!$C$19, IF(MAX(0, X24 - 20500)&lt;=Assumptions!$B$21, Assumptions!$D$20 + (MAX(0, X24 - 20500)-Assumptions!$B$20)*Assumptions!$C$20, IF(MAX(0, X24 - 20500)&lt;=Assumptions!$B$22, Assumptions!$D$21 + (MAX(0, X24 - 20500)-Assumptions!$B$21)*Assumptions!$C$21, IF(MAX(0, X24 - 20500)&lt;=Assumptions!$B$23, Assumptions!$D$22 + (MAX(0, X24 - 20500)-Assumptions!$B$22)*Assumptions!$C$22, IF(MAX(0, X24 - 20500)&lt;=Assumptions!$B$24, Assumptions!$D$23 + (MAX(0, X24 - 20500)-Assumptions!$B$23)*Assumptions!$C$23, IF(MAX(0, X24 - 20500)&lt;=Assumptions!$B$25, Assumptions!$D$24 + (MAX(0, X24 - 20500)-Assumptions!$B$25)*Assumptions!$C$24, Assumptions!$D$25 + (MAX(0, X24 - 20500)-Assumptions!$B$25)*Assumptions!$C$25)))))))</f>
        <v>0</v>
      </c>
      <c r="Z24" s="9">
        <f t="shared" si="10"/>
        <v>0</v>
      </c>
      <c r="AA24" s="9">
        <f>H24 + MIN(J24, 'Capital Gains'!F24)</f>
        <v>0</v>
      </c>
    </row>
    <row r="25" ht="15.75" customHeight="1">
      <c r="A25" s="7">
        <v>2049.0</v>
      </c>
      <c r="B25" s="9">
        <f>'Outside Income'!D25 * 0.85</f>
        <v>53323.62743</v>
      </c>
      <c r="C25" s="9">
        <f>'Outside Income'!E25</f>
        <v>0</v>
      </c>
      <c r="D25" s="9">
        <f>IF('Capital Gains'!G25&lt;=0, 0, 'Outside Income'!G25)</f>
        <v>0</v>
      </c>
      <c r="E25" s="9" t="str">
        <f>'Inherited and Roth IRA'!K25</f>
        <v/>
      </c>
      <c r="F25" s="9">
        <f>IF('Capital Gains'!F25&lt;=0, 0, MIN(MAX(0, 'Schedule A'!P25 - D25), 'Capital Gains'!F25))</f>
        <v>0</v>
      </c>
      <c r="G25" s="9">
        <f t="shared" si="1"/>
        <v>53323.62743</v>
      </c>
      <c r="H25" s="9">
        <v>0.0</v>
      </c>
      <c r="I25" s="9">
        <f t="shared" si="2"/>
        <v>53323.62743</v>
      </c>
      <c r="J25" s="9">
        <v>0.0</v>
      </c>
      <c r="K25" s="9">
        <f>IF('Capital Gains'!G25&lt;=0, 0, MAX(0, 'Capital Gains'!F25 - F25))</f>
        <v>0</v>
      </c>
      <c r="L25" s="9">
        <f>IF('Capital Gains'!G25&lt;=0, 0, MAX(0, K25 - J25))</f>
        <v>0</v>
      </c>
      <c r="M25" s="9">
        <f t="shared" si="4"/>
        <v>53323.62743</v>
      </c>
      <c r="N25" s="9">
        <f>'Schedule A'!M25</f>
        <v>100993.7279</v>
      </c>
      <c r="O25" s="9">
        <f t="shared" si="5"/>
        <v>0</v>
      </c>
      <c r="P25" s="9">
        <f>IF(O25&lt;=0, 0, IF(O25&lt;=Assumptions!$B$30, O25*Assumptions!$C$29, IF(O25&lt;=Assumptions!$B$31, Assumptions!$D$30 + (O25-Assumptions!$B$30)*Assumptions!$C$30, IF(O25&lt;=Assumptions!$B$32, Assumptions!$D$31 + (O25-Assumptions!$B$31)*Assumptions!$C$31, IF(O25&lt;=Assumptions!$B$33, Assumptions!$D$32 + (O25-Assumptions!$B$32)*Assumptions!$C$32, IF(O25&lt;=Assumptions!$B$34, Assumptions!$D$33 + (O25-Assumptions!$B$33)*Assumptions!$C$33, IF(O25&lt;=Assumptions!$B$35, Assumptions!$D$34 + (O25-Assumptions!$B$34)*Assumptions!$C$34, Assumptions!$D$35 + (O25-Assumptions!$B$35)*Assumptions!$C$35)))))))</f>
        <v>0</v>
      </c>
      <c r="Q25" s="9">
        <f t="shared" si="6"/>
        <v>0</v>
      </c>
      <c r="R25" s="9">
        <f>IF('Capital Gains'!G25&lt;=0, 0, MIN('Schedule A'!R25, L25))</f>
        <v>0</v>
      </c>
      <c r="S25" s="9">
        <f t="shared" si="7"/>
        <v>47670.10051</v>
      </c>
      <c r="T25" s="9">
        <f>IF('Capital Gains'!G25&lt;=0, 0, MAX(0, L25 - S25))</f>
        <v>0</v>
      </c>
      <c r="U25" s="9">
        <f>IF(T25&lt;=0, 0, IF((O25+T25)&lt;=Assumptions!$B$46, 0, IF(O25&gt;=Assumptions!$B$46, T25*Assumptions!$C$46, (O25+T25-Assumptions!$B$46)*Assumptions!$C$46)))</f>
        <v>0</v>
      </c>
      <c r="V25" s="9">
        <f t="shared" si="8"/>
        <v>0</v>
      </c>
      <c r="W25" s="9">
        <f t="shared" si="9"/>
        <v>0</v>
      </c>
      <c r="X25" s="9">
        <f>C25 + D25 + E25 + 'Capital Gains'!F25</f>
        <v>0</v>
      </c>
      <c r="Y25" s="9">
        <f>IF(MAX(0, X25 - 20500)&lt;=0, 0, IF(MAX(0, X25 - 20500)&lt;=Assumptions!$B$20, MAX(0, X25 - 20500)*Assumptions!$C$19, IF(MAX(0, X25 - 20500)&lt;=Assumptions!$B$21, Assumptions!$D$20 + (MAX(0, X25 - 20500)-Assumptions!$B$20)*Assumptions!$C$20, IF(MAX(0, X25 - 20500)&lt;=Assumptions!$B$22, Assumptions!$D$21 + (MAX(0, X25 - 20500)-Assumptions!$B$21)*Assumptions!$C$21, IF(MAX(0, X25 - 20500)&lt;=Assumptions!$B$23, Assumptions!$D$22 + (MAX(0, X25 - 20500)-Assumptions!$B$22)*Assumptions!$C$22, IF(MAX(0, X25 - 20500)&lt;=Assumptions!$B$24, Assumptions!$D$23 + (MAX(0, X25 - 20500)-Assumptions!$B$23)*Assumptions!$C$23, IF(MAX(0, X25 - 20500)&lt;=Assumptions!$B$25, Assumptions!$D$24 + (MAX(0, X25 - 20500)-Assumptions!$B$25)*Assumptions!$C$24, Assumptions!$D$25 + (MAX(0, X25 - 20500)-Assumptions!$B$25)*Assumptions!$C$25)))))))</f>
        <v>0</v>
      </c>
      <c r="Z25" s="9">
        <f t="shared" si="10"/>
        <v>0</v>
      </c>
      <c r="AA25" s="9">
        <f>H25 + MIN(J25, 'Capital Gains'!F25)</f>
        <v>0</v>
      </c>
    </row>
    <row r="26" ht="15.75" customHeight="1">
      <c r="A26" s="7">
        <v>2050.0</v>
      </c>
      <c r="B26" s="9">
        <f>'Outside Income'!D26 * 0.85</f>
        <v>53856.86371</v>
      </c>
      <c r="C26" s="9">
        <f>'Outside Income'!E26</f>
        <v>0</v>
      </c>
      <c r="D26" s="9">
        <f>IF('Capital Gains'!G26&lt;=0, 0, 'Outside Income'!G26)</f>
        <v>0</v>
      </c>
      <c r="E26" s="9" t="str">
        <f>'Inherited and Roth IRA'!K26</f>
        <v/>
      </c>
      <c r="F26" s="9">
        <f>IF('Capital Gains'!F26&lt;=0, 0, MIN(MAX(0, 'Schedule A'!P26 - D26), 'Capital Gains'!F26))</f>
        <v>0</v>
      </c>
      <c r="G26" s="9">
        <f t="shared" si="1"/>
        <v>53856.86371</v>
      </c>
      <c r="H26" s="9">
        <v>0.0</v>
      </c>
      <c r="I26" s="9">
        <f t="shared" si="2"/>
        <v>53856.86371</v>
      </c>
      <c r="J26" s="9">
        <v>0.0</v>
      </c>
      <c r="K26" s="9">
        <f>IF('Capital Gains'!G26&lt;=0, 0, MAX(0, 'Capital Gains'!F26 - F26))</f>
        <v>0</v>
      </c>
      <c r="L26" s="9">
        <f>IF('Capital Gains'!G26&lt;=0, 0, MAX(0, K26 - J26))</f>
        <v>0</v>
      </c>
      <c r="M26" s="9">
        <f t="shared" si="4"/>
        <v>53856.86371</v>
      </c>
      <c r="N26" s="9">
        <f>'Schedule A'!M26</f>
        <v>100953.7352</v>
      </c>
      <c r="O26" s="9">
        <f t="shared" si="5"/>
        <v>0</v>
      </c>
      <c r="P26" s="9">
        <f>IF(O26&lt;=0, 0, IF(O26&lt;=Assumptions!$B$30, O26*Assumptions!$C$29, IF(O26&lt;=Assumptions!$B$31, Assumptions!$D$30 + (O26-Assumptions!$B$30)*Assumptions!$C$30, IF(O26&lt;=Assumptions!$B$32, Assumptions!$D$31 + (O26-Assumptions!$B$31)*Assumptions!$C$31, IF(O26&lt;=Assumptions!$B$33, Assumptions!$D$32 + (O26-Assumptions!$B$32)*Assumptions!$C$32, IF(O26&lt;=Assumptions!$B$34, Assumptions!$D$33 + (O26-Assumptions!$B$33)*Assumptions!$C$33, IF(O26&lt;=Assumptions!$B$35, Assumptions!$D$34 + (O26-Assumptions!$B$34)*Assumptions!$C$34, Assumptions!$D$35 + (O26-Assumptions!$B$35)*Assumptions!$C$35)))))))</f>
        <v>0</v>
      </c>
      <c r="Q26" s="9">
        <f t="shared" si="6"/>
        <v>0</v>
      </c>
      <c r="R26" s="9">
        <f>IF('Capital Gains'!G26&lt;=0, 0, MIN('Schedule A'!R26, L26))</f>
        <v>0</v>
      </c>
      <c r="S26" s="9">
        <f t="shared" si="7"/>
        <v>47096.87152</v>
      </c>
      <c r="T26" s="9">
        <f>IF('Capital Gains'!G26&lt;=0, 0, MAX(0, L26 - S26))</f>
        <v>0</v>
      </c>
      <c r="U26" s="9">
        <f>IF(T26&lt;=0, 0, IF((O26+T26)&lt;=Assumptions!$B$46, 0, IF(O26&gt;=Assumptions!$B$46, T26*Assumptions!$C$46, (O26+T26-Assumptions!$B$46)*Assumptions!$C$46)))</f>
        <v>0</v>
      </c>
      <c r="V26" s="9">
        <f t="shared" si="8"/>
        <v>0</v>
      </c>
      <c r="W26" s="9">
        <f t="shared" si="9"/>
        <v>0</v>
      </c>
      <c r="X26" s="9">
        <f>C26 + D26 + E26 + 'Capital Gains'!F26</f>
        <v>0</v>
      </c>
      <c r="Y26" s="9">
        <f>IF(MAX(0, X26 - 20500)&lt;=0, 0, IF(MAX(0, X26 - 20500)&lt;=Assumptions!$B$20, MAX(0, X26 - 20500)*Assumptions!$C$19, IF(MAX(0, X26 - 20500)&lt;=Assumptions!$B$21, Assumptions!$D$20 + (MAX(0, X26 - 20500)-Assumptions!$B$20)*Assumptions!$C$20, IF(MAX(0, X26 - 20500)&lt;=Assumptions!$B$22, Assumptions!$D$21 + (MAX(0, X26 - 20500)-Assumptions!$B$21)*Assumptions!$C$21, IF(MAX(0, X26 - 20500)&lt;=Assumptions!$B$23, Assumptions!$D$22 + (MAX(0, X26 - 20500)-Assumptions!$B$22)*Assumptions!$C$22, IF(MAX(0, X26 - 20500)&lt;=Assumptions!$B$24, Assumptions!$D$23 + (MAX(0, X26 - 20500)-Assumptions!$B$23)*Assumptions!$C$23, IF(MAX(0, X26 - 20500)&lt;=Assumptions!$B$25, Assumptions!$D$24 + (MAX(0, X26 - 20500)-Assumptions!$B$25)*Assumptions!$C$24, Assumptions!$D$25 + (MAX(0, X26 - 20500)-Assumptions!$B$25)*Assumptions!$C$25)))))))</f>
        <v>0</v>
      </c>
      <c r="Z26" s="9">
        <f t="shared" si="10"/>
        <v>0</v>
      </c>
      <c r="AA26" s="9">
        <f>H26 + MIN(J26, 'Capital Gains'!F26)</f>
        <v>0</v>
      </c>
    </row>
    <row r="27" ht="15.75" customHeight="1">
      <c r="A27" s="7">
        <v>2051.0</v>
      </c>
      <c r="B27" s="9">
        <f>'Outside Income'!D27 * 0.85</f>
        <v>54395.43234</v>
      </c>
      <c r="C27" s="9">
        <f>'Outside Income'!E27</f>
        <v>0</v>
      </c>
      <c r="D27" s="9">
        <f>IF('Capital Gains'!G27&lt;=0, 0, 'Outside Income'!G27)</f>
        <v>0</v>
      </c>
      <c r="E27" s="9" t="str">
        <f>'Inherited and Roth IRA'!K27</f>
        <v/>
      </c>
      <c r="F27" s="9">
        <f>IF('Capital Gains'!F27&lt;=0, 0, MIN(MAX(0, 'Schedule A'!P27 - D27), 'Capital Gains'!F27))</f>
        <v>0</v>
      </c>
      <c r="G27" s="9">
        <f t="shared" si="1"/>
        <v>54395.43234</v>
      </c>
      <c r="H27" s="9">
        <v>0.0</v>
      </c>
      <c r="I27" s="9">
        <f t="shared" si="2"/>
        <v>54395.43234</v>
      </c>
      <c r="J27" s="9">
        <v>0.0</v>
      </c>
      <c r="K27" s="9">
        <f>IF('Capital Gains'!G27&lt;=0, 0, MAX(0, 'Capital Gains'!F27 - F27))</f>
        <v>0</v>
      </c>
      <c r="L27" s="9">
        <f>IF('Capital Gains'!G27&lt;=0, 0, MAX(0, K27 - J27))</f>
        <v>0</v>
      </c>
      <c r="M27" s="9">
        <f t="shared" si="4"/>
        <v>54395.43234</v>
      </c>
      <c r="N27" s="9">
        <f>'Schedule A'!M27</f>
        <v>100913.3426</v>
      </c>
      <c r="O27" s="9">
        <f t="shared" si="5"/>
        <v>0</v>
      </c>
      <c r="P27" s="9">
        <f>IF(O27&lt;=0, 0, IF(O27&lt;=Assumptions!$B$30, O27*Assumptions!$C$29, IF(O27&lt;=Assumptions!$B$31, Assumptions!$D$30 + (O27-Assumptions!$B$30)*Assumptions!$C$30, IF(O27&lt;=Assumptions!$B$32, Assumptions!$D$31 + (O27-Assumptions!$B$31)*Assumptions!$C$31, IF(O27&lt;=Assumptions!$B$33, Assumptions!$D$32 + (O27-Assumptions!$B$32)*Assumptions!$C$32, IF(O27&lt;=Assumptions!$B$34, Assumptions!$D$33 + (O27-Assumptions!$B$33)*Assumptions!$C$33, IF(O27&lt;=Assumptions!$B$35, Assumptions!$D$34 + (O27-Assumptions!$B$34)*Assumptions!$C$34, Assumptions!$D$35 + (O27-Assumptions!$B$35)*Assumptions!$C$35)))))))</f>
        <v>0</v>
      </c>
      <c r="Q27" s="9">
        <f t="shared" si="6"/>
        <v>0</v>
      </c>
      <c r="R27" s="9">
        <f>IF('Capital Gains'!G27&lt;=0, 0, MIN('Schedule A'!R27, L27))</f>
        <v>0</v>
      </c>
      <c r="S27" s="9">
        <f t="shared" si="7"/>
        <v>46517.91023</v>
      </c>
      <c r="T27" s="9">
        <f>IF('Capital Gains'!G27&lt;=0, 0, MAX(0, L27 - S27))</f>
        <v>0</v>
      </c>
      <c r="U27" s="9">
        <f>IF(T27&lt;=0, 0, IF((O27+T27)&lt;=Assumptions!$B$46, 0, IF(O27&gt;=Assumptions!$B$46, T27*Assumptions!$C$46, (O27+T27-Assumptions!$B$46)*Assumptions!$C$46)))</f>
        <v>0</v>
      </c>
      <c r="V27" s="9">
        <f t="shared" si="8"/>
        <v>0</v>
      </c>
      <c r="W27" s="9">
        <f t="shared" si="9"/>
        <v>0</v>
      </c>
      <c r="X27" s="9">
        <f>C27 + D27 + E27 + 'Capital Gains'!F27</f>
        <v>0</v>
      </c>
      <c r="Y27" s="9">
        <f>IF(MAX(0, X27 - 20500)&lt;=0, 0, IF(MAX(0, X27 - 20500)&lt;=Assumptions!$B$20, MAX(0, X27 - 20500)*Assumptions!$C$19, IF(MAX(0, X27 - 20500)&lt;=Assumptions!$B$21, Assumptions!$D$20 + (MAX(0, X27 - 20500)-Assumptions!$B$20)*Assumptions!$C$20, IF(MAX(0, X27 - 20500)&lt;=Assumptions!$B$22, Assumptions!$D$21 + (MAX(0, X27 - 20500)-Assumptions!$B$21)*Assumptions!$C$21, IF(MAX(0, X27 - 20500)&lt;=Assumptions!$B$23, Assumptions!$D$22 + (MAX(0, X27 - 20500)-Assumptions!$B$22)*Assumptions!$C$22, IF(MAX(0, X27 - 20500)&lt;=Assumptions!$B$24, Assumptions!$D$23 + (MAX(0, X27 - 20500)-Assumptions!$B$23)*Assumptions!$C$23, IF(MAX(0, X27 - 20500)&lt;=Assumptions!$B$25, Assumptions!$D$24 + (MAX(0, X27 - 20500)-Assumptions!$B$25)*Assumptions!$C$24, Assumptions!$D$25 + (MAX(0, X27 - 20500)-Assumptions!$B$25)*Assumptions!$C$25)))))))</f>
        <v>0</v>
      </c>
      <c r="Z27" s="9">
        <f t="shared" si="10"/>
        <v>0</v>
      </c>
      <c r="AA27" s="9">
        <f>H27 + MIN(J27, 'Capital Gains'!F27)</f>
        <v>0</v>
      </c>
    </row>
    <row r="28" ht="15.75" customHeight="1">
      <c r="A28" s="7">
        <v>2052.0</v>
      </c>
      <c r="B28" s="9">
        <f>'Outside Income'!D28 * 0.85</f>
        <v>54939.38667</v>
      </c>
      <c r="C28" s="9">
        <f>'Outside Income'!E28</f>
        <v>0</v>
      </c>
      <c r="D28" s="9">
        <f>IF('Capital Gains'!G28&lt;=0, 0, 'Outside Income'!G28)</f>
        <v>0</v>
      </c>
      <c r="E28" s="9" t="str">
        <f>'Inherited and Roth IRA'!K28</f>
        <v/>
      </c>
      <c r="F28" s="9">
        <f>IF('Capital Gains'!F28&lt;=0, 0, MIN(MAX(0, 'Schedule A'!P28 - D28), 'Capital Gains'!F28))</f>
        <v>0</v>
      </c>
      <c r="G28" s="9">
        <f t="shared" si="1"/>
        <v>54939.38667</v>
      </c>
      <c r="H28" s="9">
        <v>0.0</v>
      </c>
      <c r="I28" s="9">
        <f t="shared" si="2"/>
        <v>54939.38667</v>
      </c>
      <c r="J28" s="9">
        <v>0.0</v>
      </c>
      <c r="K28" s="9">
        <f>IF('Capital Gains'!G28&lt;=0, 0, MAX(0, 'Capital Gains'!F28 - F28))</f>
        <v>0</v>
      </c>
      <c r="L28" s="9">
        <f>IF('Capital Gains'!G28&lt;=0, 0, MAX(0, K28 - J28))</f>
        <v>0</v>
      </c>
      <c r="M28" s="9">
        <f t="shared" si="4"/>
        <v>54939.38667</v>
      </c>
      <c r="N28" s="9">
        <f>'Schedule A'!M28</f>
        <v>100872.546</v>
      </c>
      <c r="O28" s="9">
        <f t="shared" si="5"/>
        <v>0</v>
      </c>
      <c r="P28" s="9">
        <f>IF(O28&lt;=0, 0, IF(O28&lt;=Assumptions!$B$30, O28*Assumptions!$C$29, IF(O28&lt;=Assumptions!$B$31, Assumptions!$D$30 + (O28-Assumptions!$B$30)*Assumptions!$C$30, IF(O28&lt;=Assumptions!$B$32, Assumptions!$D$31 + (O28-Assumptions!$B$31)*Assumptions!$C$31, IF(O28&lt;=Assumptions!$B$33, Assumptions!$D$32 + (O28-Assumptions!$B$32)*Assumptions!$C$32, IF(O28&lt;=Assumptions!$B$34, Assumptions!$D$33 + (O28-Assumptions!$B$33)*Assumptions!$C$33, IF(O28&lt;=Assumptions!$B$35, Assumptions!$D$34 + (O28-Assumptions!$B$34)*Assumptions!$C$34, Assumptions!$D$35 + (O28-Assumptions!$B$35)*Assumptions!$C$35)))))))</f>
        <v>0</v>
      </c>
      <c r="Q28" s="9">
        <f t="shared" si="6"/>
        <v>0</v>
      </c>
      <c r="R28" s="9">
        <f>IF('Capital Gains'!G28&lt;=0, 0, MIN('Schedule A'!R28, L28))</f>
        <v>0</v>
      </c>
      <c r="S28" s="9">
        <f t="shared" si="7"/>
        <v>45933.15933</v>
      </c>
      <c r="T28" s="9">
        <f>IF('Capital Gains'!G28&lt;=0, 0, MAX(0, L28 - S28))</f>
        <v>0</v>
      </c>
      <c r="U28" s="9">
        <f>IF(T28&lt;=0, 0, IF((O28+T28)&lt;=Assumptions!$B$46, 0, IF(O28&gt;=Assumptions!$B$46, T28*Assumptions!$C$46, (O28+T28-Assumptions!$B$46)*Assumptions!$C$46)))</f>
        <v>0</v>
      </c>
      <c r="V28" s="9">
        <f t="shared" si="8"/>
        <v>0</v>
      </c>
      <c r="W28" s="9">
        <f t="shared" si="9"/>
        <v>0</v>
      </c>
      <c r="X28" s="9">
        <f>C28 + D28 + E28 + 'Capital Gains'!F28</f>
        <v>0</v>
      </c>
      <c r="Y28" s="9">
        <f>IF(MAX(0, X28 - 20500)&lt;=0, 0, IF(MAX(0, X28 - 20500)&lt;=Assumptions!$B$20, MAX(0, X28 - 20500)*Assumptions!$C$19, IF(MAX(0, X28 - 20500)&lt;=Assumptions!$B$21, Assumptions!$D$20 + (MAX(0, X28 - 20500)-Assumptions!$B$20)*Assumptions!$C$20, IF(MAX(0, X28 - 20500)&lt;=Assumptions!$B$22, Assumptions!$D$21 + (MAX(0, X28 - 20500)-Assumptions!$B$21)*Assumptions!$C$21, IF(MAX(0, X28 - 20500)&lt;=Assumptions!$B$23, Assumptions!$D$22 + (MAX(0, X28 - 20500)-Assumptions!$B$22)*Assumptions!$C$22, IF(MAX(0, X28 - 20500)&lt;=Assumptions!$B$24, Assumptions!$D$23 + (MAX(0, X28 - 20500)-Assumptions!$B$23)*Assumptions!$C$23, IF(MAX(0, X28 - 20500)&lt;=Assumptions!$B$25, Assumptions!$D$24 + (MAX(0, X28 - 20500)-Assumptions!$B$25)*Assumptions!$C$24, Assumptions!$D$25 + (MAX(0, X28 - 20500)-Assumptions!$B$25)*Assumptions!$C$25)))))))</f>
        <v>0</v>
      </c>
      <c r="Z28" s="9">
        <f t="shared" si="10"/>
        <v>0</v>
      </c>
      <c r="AA28" s="9">
        <f>H28 + MIN(J28, 'Capital Gains'!F28)</f>
        <v>0</v>
      </c>
    </row>
    <row r="29" ht="15.75" customHeight="1">
      <c r="A29" s="7">
        <v>2053.0</v>
      </c>
      <c r="B29" s="9">
        <f>'Outside Income'!D29 * 0.85</f>
        <v>55488.78053</v>
      </c>
      <c r="C29" s="9">
        <f>'Outside Income'!E29</f>
        <v>0</v>
      </c>
      <c r="D29" s="9">
        <f>IF('Capital Gains'!G29&lt;=0, 0, 'Outside Income'!G29)</f>
        <v>0</v>
      </c>
      <c r="E29" s="9" t="str">
        <f>'Inherited and Roth IRA'!K29</f>
        <v/>
      </c>
      <c r="F29" s="9">
        <f>IF('Capital Gains'!F29&lt;=0, 0, MIN(MAX(0, 'Schedule A'!P29 - D29), 'Capital Gains'!F29))</f>
        <v>0</v>
      </c>
      <c r="G29" s="9">
        <f t="shared" si="1"/>
        <v>55488.78053</v>
      </c>
      <c r="H29" s="9">
        <v>0.0</v>
      </c>
      <c r="I29" s="9">
        <f t="shared" si="2"/>
        <v>55488.78053</v>
      </c>
      <c r="J29" s="9">
        <v>0.0</v>
      </c>
      <c r="K29" s="9">
        <f>IF('Capital Gains'!G29&lt;=0, 0, MAX(0, 'Capital Gains'!F29 - F29))</f>
        <v>0</v>
      </c>
      <c r="L29" s="9">
        <f>IF('Capital Gains'!G29&lt;=0, 0, MAX(0, K29 - J29))</f>
        <v>0</v>
      </c>
      <c r="M29" s="9">
        <f t="shared" si="4"/>
        <v>55488.78053</v>
      </c>
      <c r="N29" s="9">
        <f>'Schedule A'!M29</f>
        <v>100831.3415</v>
      </c>
      <c r="O29" s="9">
        <f t="shared" si="5"/>
        <v>0</v>
      </c>
      <c r="P29" s="9">
        <f>IF(O29&lt;=0, 0, IF(O29&lt;=Assumptions!$B$30, O29*Assumptions!$C$29, IF(O29&lt;=Assumptions!$B$31, Assumptions!$D$30 + (O29-Assumptions!$B$30)*Assumptions!$C$30, IF(O29&lt;=Assumptions!$B$32, Assumptions!$D$31 + (O29-Assumptions!$B$31)*Assumptions!$C$31, IF(O29&lt;=Assumptions!$B$33, Assumptions!$D$32 + (O29-Assumptions!$B$32)*Assumptions!$C$32, IF(O29&lt;=Assumptions!$B$34, Assumptions!$D$33 + (O29-Assumptions!$B$33)*Assumptions!$C$33, IF(O29&lt;=Assumptions!$B$35, Assumptions!$D$34 + (O29-Assumptions!$B$34)*Assumptions!$C$34, Assumptions!$D$35 + (O29-Assumptions!$B$35)*Assumptions!$C$35)))))))</f>
        <v>0</v>
      </c>
      <c r="Q29" s="9">
        <f t="shared" si="6"/>
        <v>0</v>
      </c>
      <c r="R29" s="9">
        <f>IF('Capital Gains'!G29&lt;=0, 0, MIN('Schedule A'!R29, L29))</f>
        <v>0</v>
      </c>
      <c r="S29" s="9">
        <f t="shared" si="7"/>
        <v>45342.56093</v>
      </c>
      <c r="T29" s="9">
        <f>IF('Capital Gains'!G29&lt;=0, 0, MAX(0, L29 - S29))</f>
        <v>0</v>
      </c>
      <c r="U29" s="9">
        <f>IF(T29&lt;=0, 0, IF((O29+T29)&lt;=Assumptions!$B$46, 0, IF(O29&gt;=Assumptions!$B$46, T29*Assumptions!$C$46, (O29+T29-Assumptions!$B$46)*Assumptions!$C$46)))</f>
        <v>0</v>
      </c>
      <c r="V29" s="9">
        <f t="shared" si="8"/>
        <v>0</v>
      </c>
      <c r="W29" s="9">
        <f t="shared" si="9"/>
        <v>0</v>
      </c>
      <c r="X29" s="9">
        <f>C29 + D29 + E29 + 'Capital Gains'!F29</f>
        <v>0</v>
      </c>
      <c r="Y29" s="9">
        <f>IF(MAX(0, X29 - 20500)&lt;=0, 0, IF(MAX(0, X29 - 20500)&lt;=Assumptions!$B$20, MAX(0, X29 - 20500)*Assumptions!$C$19, IF(MAX(0, X29 - 20500)&lt;=Assumptions!$B$21, Assumptions!$D$20 + (MAX(0, X29 - 20500)-Assumptions!$B$20)*Assumptions!$C$20, IF(MAX(0, X29 - 20500)&lt;=Assumptions!$B$22, Assumptions!$D$21 + (MAX(0, X29 - 20500)-Assumptions!$B$21)*Assumptions!$C$21, IF(MAX(0, X29 - 20500)&lt;=Assumptions!$B$23, Assumptions!$D$22 + (MAX(0, X29 - 20500)-Assumptions!$B$22)*Assumptions!$C$22, IF(MAX(0, X29 - 20500)&lt;=Assumptions!$B$24, Assumptions!$D$23 + (MAX(0, X29 - 20500)-Assumptions!$B$23)*Assumptions!$C$23, IF(MAX(0, X29 - 20500)&lt;=Assumptions!$B$25, Assumptions!$D$24 + (MAX(0, X29 - 20500)-Assumptions!$B$25)*Assumptions!$C$24, Assumptions!$D$25 + (MAX(0, X29 - 20500)-Assumptions!$B$25)*Assumptions!$C$25)))))))</f>
        <v>0</v>
      </c>
      <c r="Z29" s="9">
        <f t="shared" si="10"/>
        <v>0</v>
      </c>
      <c r="AA29" s="9">
        <f>H29 + MIN(J29, 'Capital Gains'!F29)</f>
        <v>0</v>
      </c>
    </row>
    <row r="30" ht="15.75" customHeight="1">
      <c r="A30" s="7">
        <v>2054.0</v>
      </c>
      <c r="B30" s="9">
        <f>'Outside Income'!D30 * 0.85</f>
        <v>56043.66834</v>
      </c>
      <c r="C30" s="9">
        <f>'Outside Income'!E30</f>
        <v>0</v>
      </c>
      <c r="D30" s="9">
        <f>IF('Capital Gains'!G30&lt;=0, 0, 'Outside Income'!G30)</f>
        <v>0</v>
      </c>
      <c r="E30" s="9" t="str">
        <f>'Inherited and Roth IRA'!K30</f>
        <v/>
      </c>
      <c r="F30" s="9">
        <f>IF('Capital Gains'!F30&lt;=0, 0, MIN(MAX(0, 'Schedule A'!P30 - D30), 'Capital Gains'!F30))</f>
        <v>0</v>
      </c>
      <c r="G30" s="9">
        <f t="shared" si="1"/>
        <v>56043.66834</v>
      </c>
      <c r="H30" s="9">
        <v>0.0</v>
      </c>
      <c r="I30" s="9">
        <f t="shared" si="2"/>
        <v>56043.66834</v>
      </c>
      <c r="J30" s="9">
        <v>0.0</v>
      </c>
      <c r="K30" s="9">
        <f>IF('Capital Gains'!G30&lt;=0, 0, MAX(0, 'Capital Gains'!F30 - F30))</f>
        <v>0</v>
      </c>
      <c r="L30" s="9">
        <f>IF('Capital Gains'!G30&lt;=0, 0, MAX(0, K30 - J30))</f>
        <v>0</v>
      </c>
      <c r="M30" s="9">
        <f t="shared" si="4"/>
        <v>56043.66834</v>
      </c>
      <c r="N30" s="9">
        <f>'Schedule A'!M30</f>
        <v>100789.7249</v>
      </c>
      <c r="O30" s="9">
        <f t="shared" si="5"/>
        <v>0</v>
      </c>
      <c r="P30" s="9">
        <f>IF(O30&lt;=0, 0, IF(O30&lt;=Assumptions!$B$30, O30*Assumptions!$C$29, IF(O30&lt;=Assumptions!$B$31, Assumptions!$D$30 + (O30-Assumptions!$B$30)*Assumptions!$C$30, IF(O30&lt;=Assumptions!$B$32, Assumptions!$D$31 + (O30-Assumptions!$B$31)*Assumptions!$C$31, IF(O30&lt;=Assumptions!$B$33, Assumptions!$D$32 + (O30-Assumptions!$B$32)*Assumptions!$C$32, IF(O30&lt;=Assumptions!$B$34, Assumptions!$D$33 + (O30-Assumptions!$B$33)*Assumptions!$C$33, IF(O30&lt;=Assumptions!$B$35, Assumptions!$D$34 + (O30-Assumptions!$B$34)*Assumptions!$C$34, Assumptions!$D$35 + (O30-Assumptions!$B$35)*Assumptions!$C$35)))))))</f>
        <v>0</v>
      </c>
      <c r="Q30" s="9">
        <f t="shared" si="6"/>
        <v>0</v>
      </c>
      <c r="R30" s="9">
        <f>IF('Capital Gains'!G30&lt;=0, 0, MIN('Schedule A'!R30, L30))</f>
        <v>0</v>
      </c>
      <c r="S30" s="9">
        <f t="shared" si="7"/>
        <v>44746.05654</v>
      </c>
      <c r="T30" s="9">
        <f>IF('Capital Gains'!G30&lt;=0, 0, MAX(0, L30 - S30))</f>
        <v>0</v>
      </c>
      <c r="U30" s="9">
        <f>IF(T30&lt;=0, 0, IF((O30+T30)&lt;=Assumptions!$B$46, 0, IF(O30&gt;=Assumptions!$B$46, T30*Assumptions!$C$46, (O30+T30-Assumptions!$B$46)*Assumptions!$C$46)))</f>
        <v>0</v>
      </c>
      <c r="V30" s="9">
        <f t="shared" si="8"/>
        <v>0</v>
      </c>
      <c r="W30" s="9">
        <f t="shared" si="9"/>
        <v>0</v>
      </c>
      <c r="X30" s="9">
        <f>C30 + D30 + E30 + 'Capital Gains'!F30</f>
        <v>0</v>
      </c>
      <c r="Y30" s="9">
        <f>IF(MAX(0, X30 - 20500)&lt;=0, 0, IF(MAX(0, X30 - 20500)&lt;=Assumptions!$B$20, MAX(0, X30 - 20500)*Assumptions!$C$19, IF(MAX(0, X30 - 20500)&lt;=Assumptions!$B$21, Assumptions!$D$20 + (MAX(0, X30 - 20500)-Assumptions!$B$20)*Assumptions!$C$20, IF(MAX(0, X30 - 20500)&lt;=Assumptions!$B$22, Assumptions!$D$21 + (MAX(0, X30 - 20500)-Assumptions!$B$21)*Assumptions!$C$21, IF(MAX(0, X30 - 20500)&lt;=Assumptions!$B$23, Assumptions!$D$22 + (MAX(0, X30 - 20500)-Assumptions!$B$22)*Assumptions!$C$22, IF(MAX(0, X30 - 20500)&lt;=Assumptions!$B$24, Assumptions!$D$23 + (MAX(0, X30 - 20500)-Assumptions!$B$23)*Assumptions!$C$23, IF(MAX(0, X30 - 20500)&lt;=Assumptions!$B$25, Assumptions!$D$24 + (MAX(0, X30 - 20500)-Assumptions!$B$25)*Assumptions!$C$24, Assumptions!$D$25 + (MAX(0, X30 - 20500)-Assumptions!$B$25)*Assumptions!$C$25)))))))</f>
        <v>0</v>
      </c>
      <c r="Z30" s="9">
        <f t="shared" si="10"/>
        <v>0</v>
      </c>
      <c r="AA30" s="9">
        <f>H30 + MIN(J30, 'Capital Gains'!F30)</f>
        <v>0</v>
      </c>
    </row>
    <row r="31" ht="15.75" customHeight="1">
      <c r="A31" s="7">
        <v>2055.0</v>
      </c>
      <c r="B31" s="9">
        <f>'Outside Income'!D31 * 0.85</f>
        <v>56604.10502</v>
      </c>
      <c r="C31" s="9">
        <f>'Outside Income'!E31</f>
        <v>0</v>
      </c>
      <c r="D31" s="9">
        <f>IF('Capital Gains'!G31&lt;=0, 0, 'Outside Income'!G31)</f>
        <v>0</v>
      </c>
      <c r="E31" s="9" t="str">
        <f>'Inherited and Roth IRA'!K31</f>
        <v/>
      </c>
      <c r="F31" s="9">
        <f>IF('Capital Gains'!F31&lt;=0, 0, MIN(MAX(0, 'Schedule A'!P31 - D31), 'Capital Gains'!F31))</f>
        <v>0</v>
      </c>
      <c r="G31" s="9">
        <f t="shared" si="1"/>
        <v>56604.10502</v>
      </c>
      <c r="H31" s="9">
        <v>0.0</v>
      </c>
      <c r="I31" s="9">
        <f t="shared" si="2"/>
        <v>56604.10502</v>
      </c>
      <c r="J31" s="9">
        <v>0.0</v>
      </c>
      <c r="K31" s="9">
        <f>IF('Capital Gains'!G31&lt;=0, 0, MAX(0, 'Capital Gains'!F31 - F31))</f>
        <v>0</v>
      </c>
      <c r="L31" s="9">
        <f>IF('Capital Gains'!G31&lt;=0, 0, MAX(0, K31 - J31))</f>
        <v>0</v>
      </c>
      <c r="M31" s="9">
        <f t="shared" si="4"/>
        <v>56604.10502</v>
      </c>
      <c r="N31" s="9">
        <f>'Schedule A'!M31</f>
        <v>100747.6921</v>
      </c>
      <c r="O31" s="9">
        <f t="shared" si="5"/>
        <v>0</v>
      </c>
      <c r="P31" s="9">
        <f>IF(O31&lt;=0, 0, IF(O31&lt;=Assumptions!$B$30, O31*Assumptions!$C$29, IF(O31&lt;=Assumptions!$B$31, Assumptions!$D$30 + (O31-Assumptions!$B$30)*Assumptions!$C$30, IF(O31&lt;=Assumptions!$B$32, Assumptions!$D$31 + (O31-Assumptions!$B$31)*Assumptions!$C$31, IF(O31&lt;=Assumptions!$B$33, Assumptions!$D$32 + (O31-Assumptions!$B$32)*Assumptions!$C$32, IF(O31&lt;=Assumptions!$B$34, Assumptions!$D$33 + (O31-Assumptions!$B$33)*Assumptions!$C$33, IF(O31&lt;=Assumptions!$B$35, Assumptions!$D$34 + (O31-Assumptions!$B$34)*Assumptions!$C$34, Assumptions!$D$35 + (O31-Assumptions!$B$35)*Assumptions!$C$35)))))))</f>
        <v>0</v>
      </c>
      <c r="Q31" s="9">
        <f t="shared" si="6"/>
        <v>0</v>
      </c>
      <c r="R31" s="9">
        <f>IF('Capital Gains'!G31&lt;=0, 0, MIN('Schedule A'!R31, L31))</f>
        <v>0</v>
      </c>
      <c r="S31" s="9">
        <f t="shared" si="7"/>
        <v>44143.5871</v>
      </c>
      <c r="T31" s="9">
        <f>IF('Capital Gains'!G31&lt;=0, 0, MAX(0, L31 - S31))</f>
        <v>0</v>
      </c>
      <c r="U31" s="9">
        <f>IF(T31&lt;=0, 0, IF((O31+T31)&lt;=Assumptions!$B$46, 0, IF(O31&gt;=Assumptions!$B$46, T31*Assumptions!$C$46, (O31+T31-Assumptions!$B$46)*Assumptions!$C$46)))</f>
        <v>0</v>
      </c>
      <c r="V31" s="9">
        <f t="shared" si="8"/>
        <v>0</v>
      </c>
      <c r="W31" s="9">
        <f t="shared" si="9"/>
        <v>0</v>
      </c>
      <c r="X31" s="9">
        <f>C31 + D31 + E31 + 'Capital Gains'!F31</f>
        <v>0</v>
      </c>
      <c r="Y31" s="9">
        <f>IF(MAX(0, X31 - 20500)&lt;=0, 0, IF(MAX(0, X31 - 20500)&lt;=Assumptions!$B$20, MAX(0, X31 - 20500)*Assumptions!$C$19, IF(MAX(0, X31 - 20500)&lt;=Assumptions!$B$21, Assumptions!$D$20 + (MAX(0, X31 - 20500)-Assumptions!$B$20)*Assumptions!$C$20, IF(MAX(0, X31 - 20500)&lt;=Assumptions!$B$22, Assumptions!$D$21 + (MAX(0, X31 - 20500)-Assumptions!$B$21)*Assumptions!$C$21, IF(MAX(0, X31 - 20500)&lt;=Assumptions!$B$23, Assumptions!$D$22 + (MAX(0, X31 - 20500)-Assumptions!$B$22)*Assumptions!$C$22, IF(MAX(0, X31 - 20500)&lt;=Assumptions!$B$24, Assumptions!$D$23 + (MAX(0, X31 - 20500)-Assumptions!$B$23)*Assumptions!$C$23, IF(MAX(0, X31 - 20500)&lt;=Assumptions!$B$25, Assumptions!$D$24 + (MAX(0, X31 - 20500)-Assumptions!$B$25)*Assumptions!$C$24, Assumptions!$D$25 + (MAX(0, X31 - 20500)-Assumptions!$B$25)*Assumptions!$C$25)))))))</f>
        <v>0</v>
      </c>
      <c r="Z31" s="9">
        <f t="shared" si="10"/>
        <v>0</v>
      </c>
      <c r="AA31" s="9">
        <f>H31 + MIN(J31, 'Capital Gains'!F31)</f>
        <v>0</v>
      </c>
    </row>
    <row r="32" ht="15.75" customHeight="1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4" width="12.63"/>
    <col customWidth="1" min="5" max="5" width="9.5"/>
    <col customWidth="1" min="6" max="6" width="10.25"/>
    <col customWidth="1" min="7" max="7" width="11.5"/>
    <col customWidth="1" min="10" max="10" width="12.13"/>
    <col customWidth="1" min="11" max="11" width="8.5"/>
    <col customWidth="1" min="12" max="12" width="11.88"/>
    <col customWidth="1" min="15" max="15" width="11.5"/>
    <col customWidth="1" min="16" max="16" width="12.63"/>
    <col customWidth="1" min="17" max="17" width="9.75"/>
    <col customWidth="1" min="19" max="19" width="8.63"/>
  </cols>
  <sheetData>
    <row r="1" ht="15.75" customHeight="1">
      <c r="A1" s="1" t="s">
        <v>0</v>
      </c>
      <c r="B1" s="2" t="s">
        <v>29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</v>
      </c>
      <c r="T1" s="2"/>
      <c r="U1" s="2"/>
      <c r="V1" s="2"/>
      <c r="W1" s="2"/>
      <c r="X1" s="2"/>
      <c r="Y1" s="2"/>
      <c r="Z1" s="2"/>
    </row>
    <row r="2" ht="15.75" customHeight="1">
      <c r="A2" s="7">
        <v>2026.0</v>
      </c>
      <c r="B2" s="9">
        <f>Taxes!M2</f>
        <v>399408.8837</v>
      </c>
      <c r="C2" s="9">
        <v>56847.0</v>
      </c>
      <c r="D2" s="9">
        <f t="shared" ref="D2:D31" si="1">B2 * 0.075</f>
        <v>29955.66628</v>
      </c>
      <c r="E2" s="9">
        <f t="shared" ref="E2:E31" si="2">MAX(0, C2 - D2)</f>
        <v>26891.33372</v>
      </c>
      <c r="F2" s="9">
        <v>60000.0</v>
      </c>
      <c r="G2" s="9">
        <v>40400.0</v>
      </c>
      <c r="H2" s="9">
        <v>0.0</v>
      </c>
      <c r="I2" s="9">
        <f t="shared" ref="I2:I31" si="3">G2 - H2</f>
        <v>40400</v>
      </c>
      <c r="J2" s="9">
        <f t="shared" ref="J2:J31" si="4">MIN(F2, I2)</f>
        <v>40400</v>
      </c>
      <c r="K2" s="9">
        <v>3746.0</v>
      </c>
      <c r="L2" s="9">
        <v>4000.0</v>
      </c>
      <c r="M2" s="9">
        <f t="shared" ref="M2:M31" si="5">E2 + J2 + K2 + L2 + Q2</f>
        <v>162827.3337</v>
      </c>
      <c r="N2" s="9">
        <v>87790.0</v>
      </c>
      <c r="O2" s="9">
        <v>0.0</v>
      </c>
      <c r="P2" s="9">
        <f t="shared" ref="P2:P31" si="6">N2 + O2</f>
        <v>87790</v>
      </c>
      <c r="Q2" s="9">
        <f>MIN(P2, Taxes!D2 + S2)</f>
        <v>87790</v>
      </c>
      <c r="R2" s="9">
        <f t="shared" ref="R2:R31" si="7">P2 - Q2</f>
        <v>0</v>
      </c>
      <c r="S2" s="9">
        <f>Taxes!F2</f>
        <v>38918</v>
      </c>
      <c r="T2" s="9"/>
      <c r="U2" s="9"/>
      <c r="V2" s="9"/>
      <c r="W2" s="9"/>
      <c r="X2" s="9"/>
      <c r="Y2" s="9"/>
      <c r="Z2" s="9"/>
    </row>
    <row r="3" ht="15.75" customHeight="1">
      <c r="A3" s="7">
        <v>2027.0</v>
      </c>
      <c r="B3" s="9">
        <f>Taxes!M3</f>
        <v>187549.5776</v>
      </c>
      <c r="C3" s="9">
        <v>56847.0</v>
      </c>
      <c r="D3" s="9">
        <f t="shared" si="1"/>
        <v>14066.21832</v>
      </c>
      <c r="E3" s="9">
        <f t="shared" si="2"/>
        <v>42780.78168</v>
      </c>
      <c r="F3" s="9">
        <v>60000.0</v>
      </c>
      <c r="G3" s="9">
        <v>40400.0</v>
      </c>
      <c r="H3" s="9">
        <v>0.0</v>
      </c>
      <c r="I3" s="9">
        <f t="shared" si="3"/>
        <v>40400</v>
      </c>
      <c r="J3" s="9">
        <f t="shared" si="4"/>
        <v>40400</v>
      </c>
      <c r="K3" s="9">
        <v>3746.0</v>
      </c>
      <c r="L3" s="9">
        <v>4000.0</v>
      </c>
      <c r="M3" s="9">
        <f t="shared" si="5"/>
        <v>167549.5776</v>
      </c>
      <c r="N3" s="9">
        <f t="shared" ref="N3:N31" si="8">N2*1.09</f>
        <v>95691.1</v>
      </c>
      <c r="O3" s="9">
        <f t="shared" ref="O3:O31" si="9">R2</f>
        <v>0</v>
      </c>
      <c r="P3" s="9">
        <f t="shared" si="6"/>
        <v>95691.1</v>
      </c>
      <c r="Q3" s="9">
        <f>MIN(P3, Taxes!D3 + S3)</f>
        <v>76622.79596</v>
      </c>
      <c r="R3" s="9">
        <f t="shared" si="7"/>
        <v>19068.30404</v>
      </c>
      <c r="S3" s="9">
        <f>Taxes!F3</f>
        <v>59573.49074</v>
      </c>
      <c r="T3" s="9"/>
      <c r="U3" s="9"/>
      <c r="V3" s="9"/>
      <c r="W3" s="9"/>
      <c r="X3" s="9"/>
      <c r="Y3" s="9"/>
      <c r="Z3" s="9"/>
    </row>
    <row r="4" ht="15.75" customHeight="1">
      <c r="A4" s="7">
        <v>2028.0</v>
      </c>
      <c r="B4" s="9">
        <f>Taxes!M4</f>
        <v>224464.9307</v>
      </c>
      <c r="C4" s="9">
        <v>56847.0</v>
      </c>
      <c r="D4" s="9">
        <f t="shared" si="1"/>
        <v>16834.8698</v>
      </c>
      <c r="E4" s="9">
        <f t="shared" si="2"/>
        <v>40012.1302</v>
      </c>
      <c r="F4" s="9">
        <v>60000.0</v>
      </c>
      <c r="G4" s="9">
        <v>40400.0</v>
      </c>
      <c r="H4" s="9">
        <v>0.0</v>
      </c>
      <c r="I4" s="9">
        <f t="shared" si="3"/>
        <v>40400</v>
      </c>
      <c r="J4" s="9">
        <f t="shared" si="4"/>
        <v>40400</v>
      </c>
      <c r="K4" s="9">
        <v>3746.0</v>
      </c>
      <c r="L4" s="9">
        <v>4000.0</v>
      </c>
      <c r="M4" s="9">
        <f t="shared" si="5"/>
        <v>204464.9307</v>
      </c>
      <c r="N4" s="9">
        <f t="shared" si="8"/>
        <v>104303.299</v>
      </c>
      <c r="O4" s="9">
        <f t="shared" si="9"/>
        <v>19068.30404</v>
      </c>
      <c r="P4" s="9">
        <f t="shared" si="6"/>
        <v>123371.603</v>
      </c>
      <c r="Q4" s="9">
        <f>MIN(P4, Taxes!D4 + S4)</f>
        <v>116306.8005</v>
      </c>
      <c r="R4" s="9">
        <f t="shared" si="7"/>
        <v>7064.802565</v>
      </c>
      <c r="S4" s="9">
        <f>Taxes!F4</f>
        <v>99433.9026</v>
      </c>
      <c r="T4" s="9"/>
      <c r="U4" s="9"/>
      <c r="V4" s="9"/>
      <c r="W4" s="9"/>
      <c r="X4" s="9"/>
      <c r="Y4" s="9"/>
      <c r="Z4" s="9"/>
    </row>
    <row r="5" ht="15.75" customHeight="1">
      <c r="A5" s="7">
        <v>2029.0</v>
      </c>
      <c r="B5" s="9">
        <f>Taxes!M5</f>
        <v>262347.0714</v>
      </c>
      <c r="C5" s="9">
        <v>56847.0</v>
      </c>
      <c r="D5" s="9">
        <f t="shared" si="1"/>
        <v>19676.03036</v>
      </c>
      <c r="E5" s="9">
        <f t="shared" si="2"/>
        <v>37170.96964</v>
      </c>
      <c r="F5" s="9">
        <v>60000.0</v>
      </c>
      <c r="G5" s="9">
        <v>40400.0</v>
      </c>
      <c r="H5" s="9">
        <v>0.0</v>
      </c>
      <c r="I5" s="9">
        <f t="shared" si="3"/>
        <v>40400</v>
      </c>
      <c r="J5" s="9">
        <f t="shared" si="4"/>
        <v>40400</v>
      </c>
      <c r="K5" s="9">
        <v>3746.0</v>
      </c>
      <c r="L5" s="9">
        <v>4000.0</v>
      </c>
      <c r="M5" s="9">
        <f t="shared" si="5"/>
        <v>206072.3681</v>
      </c>
      <c r="N5" s="9">
        <f t="shared" si="8"/>
        <v>113690.5959</v>
      </c>
      <c r="O5" s="9">
        <f t="shared" si="9"/>
        <v>7064.802565</v>
      </c>
      <c r="P5" s="9">
        <f t="shared" si="6"/>
        <v>120755.3985</v>
      </c>
      <c r="Q5" s="9">
        <f>MIN(P5, Taxes!D5 + S5)</f>
        <v>120755.3985</v>
      </c>
      <c r="R5" s="9">
        <f t="shared" si="7"/>
        <v>0</v>
      </c>
      <c r="S5" s="9">
        <f>Taxes!F5</f>
        <v>104145.728</v>
      </c>
      <c r="T5" s="9"/>
      <c r="U5" s="9"/>
      <c r="V5" s="9"/>
      <c r="W5" s="9"/>
      <c r="X5" s="9"/>
      <c r="Y5" s="9"/>
      <c r="Z5" s="9"/>
    </row>
    <row r="6" ht="15.75" customHeight="1">
      <c r="A6" s="7">
        <v>2030.0</v>
      </c>
      <c r="B6" s="9">
        <f>Taxes!M6</f>
        <v>298888.6728</v>
      </c>
      <c r="C6" s="9">
        <v>56847.0</v>
      </c>
      <c r="D6" s="9">
        <f t="shared" si="1"/>
        <v>22416.65046</v>
      </c>
      <c r="E6" s="9">
        <f t="shared" si="2"/>
        <v>34430.34954</v>
      </c>
      <c r="F6" s="9">
        <v>60000.0</v>
      </c>
      <c r="G6" s="9">
        <v>40400.0</v>
      </c>
      <c r="H6" s="9">
        <v>0.0</v>
      </c>
      <c r="I6" s="9">
        <f t="shared" si="3"/>
        <v>40400</v>
      </c>
      <c r="J6" s="9">
        <f t="shared" si="4"/>
        <v>40400</v>
      </c>
      <c r="K6" s="9">
        <v>3746.0</v>
      </c>
      <c r="L6" s="9">
        <v>4000.0</v>
      </c>
      <c r="M6" s="9">
        <f t="shared" si="5"/>
        <v>206499.0991</v>
      </c>
      <c r="N6" s="9">
        <f t="shared" si="8"/>
        <v>123922.7495</v>
      </c>
      <c r="O6" s="9">
        <f t="shared" si="9"/>
        <v>0</v>
      </c>
      <c r="P6" s="9">
        <f t="shared" si="6"/>
        <v>123922.7495</v>
      </c>
      <c r="Q6" s="9">
        <f>MIN(P6, Taxes!D6 + S6)</f>
        <v>123922.7495</v>
      </c>
      <c r="R6" s="9">
        <f t="shared" si="7"/>
        <v>0</v>
      </c>
      <c r="S6" s="9">
        <f>Taxes!F6</f>
        <v>107673.6207</v>
      </c>
      <c r="T6" s="9"/>
      <c r="U6" s="9"/>
      <c r="V6" s="9"/>
      <c r="W6" s="9"/>
      <c r="X6" s="9"/>
      <c r="Y6" s="9"/>
      <c r="Z6" s="9"/>
    </row>
    <row r="7" ht="15.75" customHeight="1">
      <c r="A7" s="7">
        <v>2031.0</v>
      </c>
      <c r="B7" s="9">
        <f>Taxes!M7</f>
        <v>333496.8744</v>
      </c>
      <c r="C7" s="9">
        <v>56847.0</v>
      </c>
      <c r="D7" s="9">
        <f t="shared" si="1"/>
        <v>25012.26558</v>
      </c>
      <c r="E7" s="9">
        <f t="shared" si="2"/>
        <v>31834.73442</v>
      </c>
      <c r="F7" s="9">
        <v>60000.0</v>
      </c>
      <c r="G7" s="9">
        <v>40400.0</v>
      </c>
      <c r="H7" s="9">
        <v>0.0</v>
      </c>
      <c r="I7" s="9">
        <f t="shared" si="3"/>
        <v>40400</v>
      </c>
      <c r="J7" s="9">
        <f t="shared" si="4"/>
        <v>40400</v>
      </c>
      <c r="K7" s="9">
        <v>3746.0</v>
      </c>
      <c r="L7" s="9">
        <v>4000.0</v>
      </c>
      <c r="M7" s="9">
        <f t="shared" si="5"/>
        <v>215056.5314</v>
      </c>
      <c r="N7" s="9">
        <f t="shared" si="8"/>
        <v>135075.797</v>
      </c>
      <c r="O7" s="9">
        <f t="shared" si="9"/>
        <v>0</v>
      </c>
      <c r="P7" s="9">
        <f t="shared" si="6"/>
        <v>135075.797</v>
      </c>
      <c r="Q7" s="9">
        <f>MIN(P7, Taxes!D7 + S7)</f>
        <v>135075.797</v>
      </c>
      <c r="R7" s="9">
        <f t="shared" si="7"/>
        <v>0</v>
      </c>
      <c r="S7" s="9">
        <f>Taxes!F7</f>
        <v>119296.0889</v>
      </c>
      <c r="T7" s="9"/>
      <c r="U7" s="9"/>
      <c r="V7" s="9"/>
      <c r="W7" s="9"/>
      <c r="X7" s="9"/>
      <c r="Y7" s="9"/>
      <c r="Z7" s="9"/>
    </row>
    <row r="8" ht="15.75" customHeight="1">
      <c r="A8" s="7">
        <v>2032.0</v>
      </c>
      <c r="B8" s="9">
        <f>Taxes!M8</f>
        <v>358021.0079</v>
      </c>
      <c r="C8" s="9">
        <v>56847.0</v>
      </c>
      <c r="D8" s="9">
        <f t="shared" si="1"/>
        <v>26851.5756</v>
      </c>
      <c r="E8" s="9">
        <f t="shared" si="2"/>
        <v>29995.4244</v>
      </c>
      <c r="F8" s="9">
        <v>60000.0</v>
      </c>
      <c r="G8" s="9">
        <v>40400.0</v>
      </c>
      <c r="H8" s="9">
        <v>0.0</v>
      </c>
      <c r="I8" s="9">
        <f t="shared" si="3"/>
        <v>40400</v>
      </c>
      <c r="J8" s="9">
        <f t="shared" si="4"/>
        <v>40400</v>
      </c>
      <c r="K8" s="9">
        <v>3746.0</v>
      </c>
      <c r="L8" s="9">
        <v>4000.0</v>
      </c>
      <c r="M8" s="9">
        <f t="shared" si="5"/>
        <v>225374.0431</v>
      </c>
      <c r="N8" s="9">
        <f t="shared" si="8"/>
        <v>147232.6187</v>
      </c>
      <c r="O8" s="9">
        <f t="shared" si="9"/>
        <v>0</v>
      </c>
      <c r="P8" s="9">
        <f t="shared" si="6"/>
        <v>147232.6187</v>
      </c>
      <c r="Q8" s="9">
        <f>MIN(P8, Taxes!D8 + S8)</f>
        <v>147232.6187</v>
      </c>
      <c r="R8" s="9">
        <f t="shared" si="7"/>
        <v>0</v>
      </c>
      <c r="S8" s="9">
        <f>Taxes!F8</f>
        <v>132043.9496</v>
      </c>
      <c r="T8" s="9"/>
      <c r="U8" s="9"/>
      <c r="V8" s="9"/>
      <c r="W8" s="9"/>
      <c r="X8" s="9"/>
      <c r="Y8" s="9"/>
      <c r="Z8" s="9"/>
    </row>
    <row r="9" ht="15.75" customHeight="1">
      <c r="A9" s="7">
        <v>2033.0</v>
      </c>
      <c r="B9" s="9">
        <f>Taxes!M9</f>
        <v>398672.4084</v>
      </c>
      <c r="C9" s="9">
        <v>56847.0</v>
      </c>
      <c r="D9" s="9">
        <f t="shared" si="1"/>
        <v>29900.43063</v>
      </c>
      <c r="E9" s="9">
        <f t="shared" si="2"/>
        <v>26946.56937</v>
      </c>
      <c r="F9" s="9">
        <v>60000.0</v>
      </c>
      <c r="G9" s="9">
        <v>40400.0</v>
      </c>
      <c r="H9" s="9">
        <v>0.0</v>
      </c>
      <c r="I9" s="9">
        <f t="shared" si="3"/>
        <v>40400</v>
      </c>
      <c r="J9" s="9">
        <f t="shared" si="4"/>
        <v>40400</v>
      </c>
      <c r="K9" s="9">
        <v>3746.0</v>
      </c>
      <c r="L9" s="9">
        <v>4000.0</v>
      </c>
      <c r="M9" s="9">
        <f t="shared" si="5"/>
        <v>235576.1238</v>
      </c>
      <c r="N9" s="9">
        <f t="shared" si="8"/>
        <v>160483.5544</v>
      </c>
      <c r="O9" s="9">
        <f t="shared" si="9"/>
        <v>0</v>
      </c>
      <c r="P9" s="9">
        <f t="shared" si="6"/>
        <v>160483.5544</v>
      </c>
      <c r="Q9" s="9">
        <f>MIN(P9, Taxes!D9 + S9)</f>
        <v>160483.5544</v>
      </c>
      <c r="R9" s="9">
        <f t="shared" si="7"/>
        <v>0</v>
      </c>
      <c r="S9" s="9">
        <f>Taxes!F9</f>
        <v>146021.5702</v>
      </c>
      <c r="T9" s="9"/>
      <c r="U9" s="9"/>
      <c r="V9" s="9"/>
      <c r="W9" s="9"/>
      <c r="X9" s="9"/>
      <c r="Y9" s="9"/>
      <c r="Z9" s="9"/>
    </row>
    <row r="10" ht="15.75" customHeight="1">
      <c r="A10" s="7">
        <v>2034.0</v>
      </c>
      <c r="B10" s="9">
        <f>Taxes!M10</f>
        <v>436595.0069</v>
      </c>
      <c r="C10" s="9">
        <v>56847.0</v>
      </c>
      <c r="D10" s="9">
        <f t="shared" si="1"/>
        <v>32744.62552</v>
      </c>
      <c r="E10" s="9">
        <f t="shared" si="2"/>
        <v>24102.37448</v>
      </c>
      <c r="F10" s="9">
        <v>60000.0</v>
      </c>
      <c r="G10" s="9">
        <v>40400.0</v>
      </c>
      <c r="H10" s="9">
        <v>0.0</v>
      </c>
      <c r="I10" s="9">
        <f t="shared" si="3"/>
        <v>40400</v>
      </c>
      <c r="J10" s="9">
        <f t="shared" si="4"/>
        <v>40400</v>
      </c>
      <c r="K10" s="9">
        <v>3746.0</v>
      </c>
      <c r="L10" s="9">
        <v>4000.0</v>
      </c>
      <c r="M10" s="9">
        <f t="shared" si="5"/>
        <v>247175.4488</v>
      </c>
      <c r="N10" s="9">
        <f t="shared" si="8"/>
        <v>174927.0743</v>
      </c>
      <c r="O10" s="9">
        <f t="shared" si="9"/>
        <v>0</v>
      </c>
      <c r="P10" s="9">
        <f t="shared" si="6"/>
        <v>174927.0743</v>
      </c>
      <c r="Q10" s="9">
        <f>MIN(P10, Taxes!D10 + S10)</f>
        <v>174927.0743</v>
      </c>
      <c r="R10" s="9">
        <f t="shared" si="7"/>
        <v>0</v>
      </c>
      <c r="S10" s="9">
        <f>Taxes!F10</f>
        <v>161342.8618</v>
      </c>
      <c r="T10" s="9"/>
      <c r="U10" s="9"/>
      <c r="V10" s="9"/>
      <c r="W10" s="9"/>
      <c r="X10" s="9"/>
      <c r="Y10" s="9"/>
      <c r="Z10" s="9"/>
    </row>
    <row r="11" ht="15.75" customHeight="1">
      <c r="A11" s="7">
        <v>2035.0</v>
      </c>
      <c r="B11" s="9">
        <f>Taxes!M11</f>
        <v>473870.7974</v>
      </c>
      <c r="C11" s="9">
        <v>56847.0</v>
      </c>
      <c r="D11" s="9">
        <f t="shared" si="1"/>
        <v>35540.3098</v>
      </c>
      <c r="E11" s="9">
        <f t="shared" si="2"/>
        <v>21306.6902</v>
      </c>
      <c r="F11" s="9">
        <v>60000.0</v>
      </c>
      <c r="G11" s="9">
        <v>40400.0</v>
      </c>
      <c r="H11" s="9">
        <v>0.0</v>
      </c>
      <c r="I11" s="9">
        <f t="shared" si="3"/>
        <v>40400</v>
      </c>
      <c r="J11" s="9">
        <f t="shared" si="4"/>
        <v>40400</v>
      </c>
      <c r="K11" s="9">
        <v>3746.0</v>
      </c>
      <c r="L11" s="9">
        <v>4000.0</v>
      </c>
      <c r="M11" s="9">
        <f t="shared" si="5"/>
        <v>260123.2012</v>
      </c>
      <c r="N11" s="9">
        <f t="shared" si="8"/>
        <v>190670.511</v>
      </c>
      <c r="O11" s="9">
        <f t="shared" si="9"/>
        <v>0</v>
      </c>
      <c r="P11" s="9">
        <f t="shared" si="6"/>
        <v>190670.511</v>
      </c>
      <c r="Q11" s="9">
        <f>MIN(P11, Taxes!D11 + S11)</f>
        <v>190670.511</v>
      </c>
      <c r="R11" s="9">
        <f t="shared" si="7"/>
        <v>0</v>
      </c>
      <c r="S11" s="9">
        <f>Taxes!F11</f>
        <v>178132.1471</v>
      </c>
      <c r="T11" s="9"/>
      <c r="U11" s="9"/>
      <c r="V11" s="9"/>
      <c r="W11" s="9"/>
      <c r="X11" s="9"/>
      <c r="Y11" s="9"/>
      <c r="Z11" s="9"/>
    </row>
    <row r="12" ht="15.75" customHeight="1">
      <c r="A12" s="7">
        <v>2036.0</v>
      </c>
      <c r="B12" s="9">
        <f>Taxes!M12</f>
        <v>510567.3674</v>
      </c>
      <c r="C12" s="9">
        <v>56847.0</v>
      </c>
      <c r="D12" s="9">
        <f t="shared" si="1"/>
        <v>38292.55256</v>
      </c>
      <c r="E12" s="9">
        <f t="shared" si="2"/>
        <v>18554.44744</v>
      </c>
      <c r="F12" s="9">
        <v>60000.0</v>
      </c>
      <c r="G12" s="9">
        <v>40400.0</v>
      </c>
      <c r="H12" s="9">
        <v>0.0</v>
      </c>
      <c r="I12" s="9">
        <f t="shared" si="3"/>
        <v>40400</v>
      </c>
      <c r="J12" s="9">
        <f t="shared" si="4"/>
        <v>40400</v>
      </c>
      <c r="K12" s="9">
        <v>3746.0</v>
      </c>
      <c r="L12" s="9">
        <v>4000.0</v>
      </c>
      <c r="M12" s="9">
        <f t="shared" si="5"/>
        <v>274531.3044</v>
      </c>
      <c r="N12" s="9">
        <f t="shared" si="8"/>
        <v>207830.857</v>
      </c>
      <c r="O12" s="9">
        <f t="shared" si="9"/>
        <v>0</v>
      </c>
      <c r="P12" s="9">
        <f t="shared" si="6"/>
        <v>207830.857</v>
      </c>
      <c r="Q12" s="9">
        <f>MIN(P12, Taxes!D12 + S12)</f>
        <v>207830.857</v>
      </c>
      <c r="R12" s="9">
        <f t="shared" si="7"/>
        <v>0</v>
      </c>
      <c r="S12" s="9">
        <f>Taxes!F12</f>
        <v>196525.1083</v>
      </c>
      <c r="T12" s="9"/>
      <c r="U12" s="9"/>
      <c r="V12" s="9"/>
      <c r="W12" s="9"/>
      <c r="X12" s="9"/>
      <c r="Y12" s="9"/>
      <c r="Z12" s="9"/>
    </row>
    <row r="13" ht="15.75" customHeight="1">
      <c r="A13" s="7">
        <v>2037.0</v>
      </c>
      <c r="B13" s="9">
        <f>Taxes!M13</f>
        <v>546747.5625</v>
      </c>
      <c r="C13" s="9">
        <v>56847.0</v>
      </c>
      <c r="D13" s="9">
        <f t="shared" si="1"/>
        <v>41006.06719</v>
      </c>
      <c r="E13" s="9">
        <f t="shared" si="2"/>
        <v>15840.93281</v>
      </c>
      <c r="F13" s="9">
        <v>60000.0</v>
      </c>
      <c r="G13" s="9">
        <v>40400.0</v>
      </c>
      <c r="H13" s="9">
        <v>0.0</v>
      </c>
      <c r="I13" s="9">
        <f t="shared" si="3"/>
        <v>40400</v>
      </c>
      <c r="J13" s="9">
        <f t="shared" si="4"/>
        <v>40400</v>
      </c>
      <c r="K13" s="9">
        <v>3746.0</v>
      </c>
      <c r="L13" s="9">
        <v>4000.0</v>
      </c>
      <c r="M13" s="9">
        <f t="shared" si="5"/>
        <v>290522.5669</v>
      </c>
      <c r="N13" s="9">
        <f t="shared" si="8"/>
        <v>226535.6341</v>
      </c>
      <c r="O13" s="9">
        <f t="shared" si="9"/>
        <v>0</v>
      </c>
      <c r="P13" s="9">
        <f t="shared" si="6"/>
        <v>226535.6341</v>
      </c>
      <c r="Q13" s="9">
        <f>MIN(P13, Taxes!D13 + S13)</f>
        <v>226535.6341</v>
      </c>
      <c r="R13" s="9">
        <f t="shared" si="7"/>
        <v>0</v>
      </c>
      <c r="S13" s="9">
        <f>Taxes!F13</f>
        <v>216669.8196</v>
      </c>
      <c r="T13" s="9"/>
      <c r="U13" s="9"/>
      <c r="V13" s="9"/>
      <c r="W13" s="9"/>
      <c r="X13" s="9"/>
      <c r="Y13" s="9"/>
      <c r="Z13" s="9"/>
    </row>
    <row r="14" ht="15.75" customHeight="1">
      <c r="A14" s="7">
        <v>2038.0</v>
      </c>
      <c r="B14" s="9">
        <f>Taxes!M14</f>
        <v>582469.441</v>
      </c>
      <c r="C14" s="9">
        <v>56847.0</v>
      </c>
      <c r="D14" s="9">
        <f t="shared" si="1"/>
        <v>43685.20808</v>
      </c>
      <c r="E14" s="9">
        <f t="shared" si="2"/>
        <v>13161.79192</v>
      </c>
      <c r="F14" s="9">
        <v>60000.0</v>
      </c>
      <c r="G14" s="9">
        <v>40400.0</v>
      </c>
      <c r="H14" s="9">
        <v>0.0</v>
      </c>
      <c r="I14" s="9">
        <f t="shared" si="3"/>
        <v>40400</v>
      </c>
      <c r="J14" s="9">
        <f t="shared" si="4"/>
        <v>40400</v>
      </c>
      <c r="K14" s="9">
        <v>3746.0</v>
      </c>
      <c r="L14" s="9">
        <v>4000.0</v>
      </c>
      <c r="M14" s="9">
        <f t="shared" si="5"/>
        <v>308231.6331</v>
      </c>
      <c r="N14" s="9">
        <f t="shared" si="8"/>
        <v>246923.8412</v>
      </c>
      <c r="O14" s="9">
        <f t="shared" si="9"/>
        <v>0</v>
      </c>
      <c r="P14" s="9">
        <f t="shared" si="6"/>
        <v>246923.8412</v>
      </c>
      <c r="Q14" s="9">
        <f>MIN(P14, Taxes!D14 + S14)</f>
        <v>246923.8412</v>
      </c>
      <c r="R14" s="9">
        <f t="shared" si="7"/>
        <v>0</v>
      </c>
      <c r="S14" s="9">
        <f>Taxes!F14</f>
        <v>238727.8739</v>
      </c>
      <c r="T14" s="9"/>
      <c r="U14" s="9"/>
      <c r="V14" s="9"/>
      <c r="W14" s="9"/>
      <c r="X14" s="9"/>
      <c r="Y14" s="9"/>
      <c r="Z14" s="9"/>
    </row>
    <row r="15" ht="15.75" customHeight="1">
      <c r="A15" s="7">
        <v>2039.0</v>
      </c>
      <c r="B15" s="9">
        <f>Taxes!M15</f>
        <v>617786.2178</v>
      </c>
      <c r="C15" s="9">
        <v>56847.0</v>
      </c>
      <c r="D15" s="9">
        <f t="shared" si="1"/>
        <v>46333.96634</v>
      </c>
      <c r="E15" s="9">
        <f t="shared" si="2"/>
        <v>10513.03366</v>
      </c>
      <c r="F15" s="9">
        <v>60000.0</v>
      </c>
      <c r="G15" s="9">
        <v>40400.0</v>
      </c>
      <c r="H15" s="9">
        <v>0.0</v>
      </c>
      <c r="I15" s="9">
        <f t="shared" si="3"/>
        <v>40400</v>
      </c>
      <c r="J15" s="9">
        <f t="shared" si="4"/>
        <v>40400</v>
      </c>
      <c r="K15" s="9">
        <v>3746.0</v>
      </c>
      <c r="L15" s="9">
        <v>4000.0</v>
      </c>
      <c r="M15" s="9">
        <f t="shared" si="5"/>
        <v>327806.0206</v>
      </c>
      <c r="N15" s="9">
        <f t="shared" si="8"/>
        <v>269146.9869</v>
      </c>
      <c r="O15" s="9">
        <f t="shared" si="9"/>
        <v>0</v>
      </c>
      <c r="P15" s="9">
        <f t="shared" si="6"/>
        <v>269146.9869</v>
      </c>
      <c r="Q15" s="9">
        <f>MIN(P15, Taxes!D15 + S15)</f>
        <v>269146.9869</v>
      </c>
      <c r="R15" s="9">
        <f t="shared" si="7"/>
        <v>0</v>
      </c>
      <c r="S15" s="9">
        <f>Taxes!F15</f>
        <v>262875.6125</v>
      </c>
      <c r="T15" s="9"/>
      <c r="U15" s="9"/>
      <c r="V15" s="9"/>
      <c r="W15" s="9"/>
      <c r="X15" s="9"/>
      <c r="Y15" s="9"/>
      <c r="Z15" s="9"/>
    </row>
    <row r="16" ht="15.75" customHeight="1">
      <c r="A16" s="7">
        <v>2040.0</v>
      </c>
      <c r="B16" s="9">
        <f>Taxes!M16</f>
        <v>652746.1916</v>
      </c>
      <c r="C16" s="9">
        <v>56847.0</v>
      </c>
      <c r="D16" s="9">
        <f t="shared" si="1"/>
        <v>48955.96437</v>
      </c>
      <c r="E16" s="9">
        <f t="shared" si="2"/>
        <v>7891.035628</v>
      </c>
      <c r="F16" s="9">
        <v>60000.0</v>
      </c>
      <c r="G16" s="9">
        <v>40400.0</v>
      </c>
      <c r="H16" s="9">
        <v>0.0</v>
      </c>
      <c r="I16" s="9">
        <f t="shared" si="3"/>
        <v>40400</v>
      </c>
      <c r="J16" s="9">
        <f t="shared" si="4"/>
        <v>40400</v>
      </c>
      <c r="K16" s="9">
        <v>3746.0</v>
      </c>
      <c r="L16" s="9">
        <v>4000.0</v>
      </c>
      <c r="M16" s="9">
        <f t="shared" si="5"/>
        <v>349407.2513</v>
      </c>
      <c r="N16" s="9">
        <f t="shared" si="8"/>
        <v>293370.2157</v>
      </c>
      <c r="O16" s="9">
        <f t="shared" si="9"/>
        <v>0</v>
      </c>
      <c r="P16" s="9">
        <f t="shared" si="6"/>
        <v>293370.2157</v>
      </c>
      <c r="Q16" s="9">
        <f>MIN(P16, Taxes!D16 + S16)</f>
        <v>293370.2157</v>
      </c>
      <c r="R16" s="9">
        <f t="shared" si="7"/>
        <v>0</v>
      </c>
      <c r="S16" s="9">
        <f>Taxes!F16</f>
        <v>289305.4648</v>
      </c>
      <c r="T16" s="9"/>
      <c r="U16" s="9"/>
      <c r="V16" s="9"/>
      <c r="W16" s="9"/>
      <c r="X16" s="9"/>
      <c r="Y16" s="9"/>
      <c r="Z16" s="9"/>
    </row>
    <row r="17" ht="15.75" customHeight="1">
      <c r="A17" s="7">
        <v>2041.0</v>
      </c>
      <c r="B17" s="9">
        <f>Taxes!M17</f>
        <v>466537.1242</v>
      </c>
      <c r="C17" s="9">
        <v>56847.0</v>
      </c>
      <c r="D17" s="9">
        <f t="shared" si="1"/>
        <v>34990.28431</v>
      </c>
      <c r="E17" s="9">
        <f t="shared" si="2"/>
        <v>21856.71569</v>
      </c>
      <c r="F17" s="9">
        <v>60000.0</v>
      </c>
      <c r="G17" s="9">
        <v>40400.0</v>
      </c>
      <c r="H17" s="9">
        <v>0.0</v>
      </c>
      <c r="I17" s="9">
        <f t="shared" si="3"/>
        <v>40400</v>
      </c>
      <c r="J17" s="9">
        <f t="shared" si="4"/>
        <v>40400</v>
      </c>
      <c r="K17" s="9">
        <v>3746.0</v>
      </c>
      <c r="L17" s="9">
        <v>4000.0</v>
      </c>
      <c r="M17" s="9">
        <f t="shared" si="5"/>
        <v>359255.6075</v>
      </c>
      <c r="N17" s="9">
        <f t="shared" si="8"/>
        <v>319773.5351</v>
      </c>
      <c r="O17" s="9">
        <f t="shared" si="9"/>
        <v>0</v>
      </c>
      <c r="P17" s="9">
        <f t="shared" si="6"/>
        <v>319773.5351</v>
      </c>
      <c r="Q17" s="9">
        <f>MIN(P17, Taxes!D17 + S17)</f>
        <v>289252.8919</v>
      </c>
      <c r="R17" s="9">
        <f t="shared" si="7"/>
        <v>30520.64328</v>
      </c>
      <c r="S17" s="9">
        <f>Taxes!F17</f>
        <v>287706.7679</v>
      </c>
      <c r="T17" s="9"/>
      <c r="U17" s="9"/>
      <c r="V17" s="9"/>
      <c r="W17" s="9"/>
      <c r="X17" s="9"/>
      <c r="Y17" s="9"/>
      <c r="Z17" s="9"/>
    </row>
    <row r="18" ht="15.75" customHeight="1">
      <c r="A18" s="7">
        <v>2042.0</v>
      </c>
      <c r="B18" s="9">
        <f>Taxes!M18</f>
        <v>190580.7428</v>
      </c>
      <c r="C18" s="9">
        <v>56847.0</v>
      </c>
      <c r="D18" s="9">
        <f t="shared" si="1"/>
        <v>14293.55571</v>
      </c>
      <c r="E18" s="9">
        <f t="shared" si="2"/>
        <v>42553.44429</v>
      </c>
      <c r="F18" s="9">
        <v>60000.0</v>
      </c>
      <c r="G18" s="9">
        <v>40400.0</v>
      </c>
      <c r="H18" s="9">
        <v>0.0</v>
      </c>
      <c r="I18" s="9">
        <f t="shared" si="3"/>
        <v>40400</v>
      </c>
      <c r="J18" s="9">
        <f t="shared" si="4"/>
        <v>40400</v>
      </c>
      <c r="K18" s="9">
        <v>3746.0</v>
      </c>
      <c r="L18" s="9">
        <v>4000.0</v>
      </c>
      <c r="M18" s="9">
        <f t="shared" si="5"/>
        <v>90699.44429</v>
      </c>
      <c r="N18" s="9">
        <f t="shared" si="8"/>
        <v>348553.1533</v>
      </c>
      <c r="O18" s="9">
        <f t="shared" si="9"/>
        <v>30520.64328</v>
      </c>
      <c r="P18" s="9">
        <f t="shared" si="6"/>
        <v>379073.7966</v>
      </c>
      <c r="Q18" s="9">
        <f>MIN(P18, Taxes!D18 + S18)</f>
        <v>0</v>
      </c>
      <c r="R18" s="9">
        <f t="shared" si="7"/>
        <v>379073.7966</v>
      </c>
      <c r="S18" s="9">
        <f>Taxes!F18</f>
        <v>0</v>
      </c>
      <c r="T18" s="9"/>
      <c r="U18" s="9"/>
      <c r="V18" s="9"/>
      <c r="W18" s="9"/>
      <c r="X18" s="9"/>
      <c r="Y18" s="9"/>
      <c r="Z18" s="9"/>
    </row>
    <row r="19" ht="15.75" customHeight="1">
      <c r="A19" s="7">
        <v>2043.0</v>
      </c>
      <c r="B19" s="9">
        <f>Taxes!M19</f>
        <v>205162.5851</v>
      </c>
      <c r="C19" s="9">
        <v>56847.0</v>
      </c>
      <c r="D19" s="9">
        <f t="shared" si="1"/>
        <v>15387.19389</v>
      </c>
      <c r="E19" s="9">
        <f t="shared" si="2"/>
        <v>41459.80611</v>
      </c>
      <c r="F19" s="9">
        <v>60000.0</v>
      </c>
      <c r="G19" s="9">
        <v>40400.0</v>
      </c>
      <c r="H19" s="9">
        <v>0.0</v>
      </c>
      <c r="I19" s="9">
        <f t="shared" si="3"/>
        <v>40400</v>
      </c>
      <c r="J19" s="9">
        <f t="shared" si="4"/>
        <v>40400</v>
      </c>
      <c r="K19" s="9">
        <v>3746.0</v>
      </c>
      <c r="L19" s="9">
        <v>4000.0</v>
      </c>
      <c r="M19" s="9">
        <f t="shared" si="5"/>
        <v>89605.80611</v>
      </c>
      <c r="N19" s="9">
        <f t="shared" si="8"/>
        <v>379922.9371</v>
      </c>
      <c r="O19" s="9">
        <f t="shared" si="9"/>
        <v>379073.7966</v>
      </c>
      <c r="P19" s="9">
        <f t="shared" si="6"/>
        <v>758996.7337</v>
      </c>
      <c r="Q19" s="9">
        <f>MIN(P19, Taxes!D19 + S19)</f>
        <v>0</v>
      </c>
      <c r="R19" s="9">
        <f t="shared" si="7"/>
        <v>758996.7337</v>
      </c>
      <c r="S19" s="9">
        <f>Taxes!F19</f>
        <v>0</v>
      </c>
      <c r="T19" s="9"/>
      <c r="U19" s="9"/>
      <c r="V19" s="9"/>
      <c r="W19" s="9"/>
      <c r="X19" s="9"/>
      <c r="Y19" s="9"/>
      <c r="Z19" s="9"/>
    </row>
    <row r="20" ht="15.75" customHeight="1">
      <c r="A20" s="7">
        <v>2044.0</v>
      </c>
      <c r="B20" s="9">
        <f>Taxes!M20</f>
        <v>135946.7256</v>
      </c>
      <c r="C20" s="9">
        <v>56847.0</v>
      </c>
      <c r="D20" s="9">
        <f t="shared" si="1"/>
        <v>10196.00442</v>
      </c>
      <c r="E20" s="9">
        <f t="shared" si="2"/>
        <v>46650.99558</v>
      </c>
      <c r="F20" s="9">
        <v>60000.0</v>
      </c>
      <c r="G20" s="9">
        <v>40400.0</v>
      </c>
      <c r="H20" s="9">
        <v>0.0</v>
      </c>
      <c r="I20" s="9">
        <f t="shared" si="3"/>
        <v>40400</v>
      </c>
      <c r="J20" s="9">
        <f t="shared" si="4"/>
        <v>40400</v>
      </c>
      <c r="K20" s="9">
        <v>3746.0</v>
      </c>
      <c r="L20" s="9">
        <v>4000.0</v>
      </c>
      <c r="M20" s="9">
        <f t="shared" si="5"/>
        <v>94796.99558</v>
      </c>
      <c r="N20" s="9">
        <f t="shared" si="8"/>
        <v>414116.0014</v>
      </c>
      <c r="O20" s="9">
        <f t="shared" si="9"/>
        <v>758996.7337</v>
      </c>
      <c r="P20" s="9">
        <f t="shared" si="6"/>
        <v>1173112.735</v>
      </c>
      <c r="Q20" s="9">
        <f>MIN(P20, Taxes!D20 + S20)</f>
        <v>0</v>
      </c>
      <c r="R20" s="9">
        <f t="shared" si="7"/>
        <v>1173112.735</v>
      </c>
      <c r="S20" s="9">
        <f>Taxes!F20</f>
        <v>0</v>
      </c>
      <c r="T20" s="9"/>
      <c r="U20" s="9"/>
      <c r="V20" s="9"/>
      <c r="W20" s="9"/>
      <c r="X20" s="9"/>
      <c r="Y20" s="9"/>
      <c r="Z20" s="9"/>
    </row>
    <row r="21" ht="15.75" customHeight="1">
      <c r="A21" s="7">
        <v>2045.0</v>
      </c>
      <c r="B21" s="9">
        <f>Taxes!M21</f>
        <v>51242.95786</v>
      </c>
      <c r="C21" s="9">
        <v>56847.0</v>
      </c>
      <c r="D21" s="9">
        <f t="shared" si="1"/>
        <v>3843.221839</v>
      </c>
      <c r="E21" s="9">
        <f t="shared" si="2"/>
        <v>53003.77816</v>
      </c>
      <c r="F21" s="9">
        <v>60000.0</v>
      </c>
      <c r="G21" s="9">
        <v>40400.0</v>
      </c>
      <c r="H21" s="9">
        <v>0.0</v>
      </c>
      <c r="I21" s="9">
        <f t="shared" si="3"/>
        <v>40400</v>
      </c>
      <c r="J21" s="9">
        <f t="shared" si="4"/>
        <v>40400</v>
      </c>
      <c r="K21" s="9">
        <v>3746.0</v>
      </c>
      <c r="L21" s="9">
        <v>4000.0</v>
      </c>
      <c r="M21" s="9">
        <f t="shared" si="5"/>
        <v>101149.7782</v>
      </c>
      <c r="N21" s="9">
        <f t="shared" si="8"/>
        <v>451386.4416</v>
      </c>
      <c r="O21" s="9">
        <f t="shared" si="9"/>
        <v>1173112.735</v>
      </c>
      <c r="P21" s="9">
        <f t="shared" si="6"/>
        <v>1624499.177</v>
      </c>
      <c r="Q21" s="9">
        <f>MIN(P21, Taxes!D21 + S21)</f>
        <v>0</v>
      </c>
      <c r="R21" s="9">
        <f t="shared" si="7"/>
        <v>1624499.177</v>
      </c>
      <c r="S21" s="9">
        <f>Taxes!F21</f>
        <v>0</v>
      </c>
      <c r="T21" s="9"/>
      <c r="U21" s="9"/>
      <c r="V21" s="9"/>
      <c r="W21" s="9"/>
      <c r="X21" s="9"/>
      <c r="Y21" s="9"/>
      <c r="Z21" s="9"/>
    </row>
    <row r="22" ht="15.75" customHeight="1">
      <c r="A22" s="7">
        <v>2046.0</v>
      </c>
      <c r="B22" s="9">
        <f>Taxes!M22</f>
        <v>51755.38744</v>
      </c>
      <c r="C22" s="9">
        <v>56847.0</v>
      </c>
      <c r="D22" s="9">
        <f t="shared" si="1"/>
        <v>3881.654058</v>
      </c>
      <c r="E22" s="9">
        <f t="shared" si="2"/>
        <v>52965.34594</v>
      </c>
      <c r="F22" s="9">
        <v>60000.0</v>
      </c>
      <c r="G22" s="9">
        <v>40400.0</v>
      </c>
      <c r="H22" s="9">
        <v>0.0</v>
      </c>
      <c r="I22" s="9">
        <f t="shared" si="3"/>
        <v>40400</v>
      </c>
      <c r="J22" s="9">
        <f t="shared" si="4"/>
        <v>40400</v>
      </c>
      <c r="K22" s="9">
        <v>3746.0</v>
      </c>
      <c r="L22" s="9">
        <v>4000.0</v>
      </c>
      <c r="M22" s="9">
        <f t="shared" si="5"/>
        <v>101111.3459</v>
      </c>
      <c r="N22" s="9">
        <f t="shared" si="8"/>
        <v>492011.2213</v>
      </c>
      <c r="O22" s="9">
        <f t="shared" si="9"/>
        <v>1624499.177</v>
      </c>
      <c r="P22" s="9">
        <f t="shared" si="6"/>
        <v>2116510.398</v>
      </c>
      <c r="Q22" s="9">
        <f>MIN(P22, Taxes!D22 + S22)</f>
        <v>0</v>
      </c>
      <c r="R22" s="9">
        <f t="shared" si="7"/>
        <v>2116510.398</v>
      </c>
      <c r="S22" s="9">
        <f>Taxes!F22</f>
        <v>0</v>
      </c>
      <c r="T22" s="9"/>
      <c r="U22" s="9"/>
      <c r="V22" s="9"/>
      <c r="W22" s="9"/>
      <c r="X22" s="9"/>
      <c r="Y22" s="9"/>
      <c r="Z22" s="9"/>
    </row>
    <row r="23" ht="15.75" customHeight="1">
      <c r="A23" s="7">
        <v>2047.0</v>
      </c>
      <c r="B23" s="9">
        <f>Taxes!M23</f>
        <v>52272.94131</v>
      </c>
      <c r="C23" s="9">
        <v>56847.0</v>
      </c>
      <c r="D23" s="9">
        <f t="shared" si="1"/>
        <v>3920.470598</v>
      </c>
      <c r="E23" s="9">
        <f t="shared" si="2"/>
        <v>52926.5294</v>
      </c>
      <c r="F23" s="9">
        <v>60000.0</v>
      </c>
      <c r="G23" s="9">
        <v>40400.0</v>
      </c>
      <c r="H23" s="9">
        <v>0.0</v>
      </c>
      <c r="I23" s="9">
        <f t="shared" si="3"/>
        <v>40400</v>
      </c>
      <c r="J23" s="9">
        <f t="shared" si="4"/>
        <v>40400</v>
      </c>
      <c r="K23" s="9">
        <v>3746.0</v>
      </c>
      <c r="L23" s="9">
        <v>4000.0</v>
      </c>
      <c r="M23" s="9">
        <f t="shared" si="5"/>
        <v>101072.5294</v>
      </c>
      <c r="N23" s="9">
        <f t="shared" si="8"/>
        <v>536292.2312</v>
      </c>
      <c r="O23" s="9">
        <f t="shared" si="9"/>
        <v>2116510.398</v>
      </c>
      <c r="P23" s="9">
        <f t="shared" si="6"/>
        <v>2652802.629</v>
      </c>
      <c r="Q23" s="9">
        <f>MIN(P23, Taxes!D23 + S23)</f>
        <v>0</v>
      </c>
      <c r="R23" s="9">
        <f t="shared" si="7"/>
        <v>2652802.629</v>
      </c>
      <c r="S23" s="9">
        <f>Taxes!F23</f>
        <v>0</v>
      </c>
      <c r="T23" s="9"/>
      <c r="U23" s="9"/>
      <c r="V23" s="9"/>
      <c r="W23" s="9"/>
      <c r="X23" s="9"/>
      <c r="Y23" s="9"/>
      <c r="Z23" s="9"/>
    </row>
    <row r="24" ht="15.75" customHeight="1">
      <c r="A24" s="7">
        <v>2048.0</v>
      </c>
      <c r="B24" s="9">
        <f>Taxes!M24</f>
        <v>52795.67072</v>
      </c>
      <c r="C24" s="9">
        <v>56847.0</v>
      </c>
      <c r="D24" s="9">
        <f t="shared" si="1"/>
        <v>3959.675304</v>
      </c>
      <c r="E24" s="9">
        <f t="shared" si="2"/>
        <v>52887.3247</v>
      </c>
      <c r="F24" s="9">
        <v>60000.0</v>
      </c>
      <c r="G24" s="9">
        <v>40400.0</v>
      </c>
      <c r="H24" s="9">
        <v>0.0</v>
      </c>
      <c r="I24" s="9">
        <f t="shared" si="3"/>
        <v>40400</v>
      </c>
      <c r="J24" s="9">
        <f t="shared" si="4"/>
        <v>40400</v>
      </c>
      <c r="K24" s="9">
        <v>3746.0</v>
      </c>
      <c r="L24" s="9">
        <v>4000.0</v>
      </c>
      <c r="M24" s="9">
        <f t="shared" si="5"/>
        <v>101033.3247</v>
      </c>
      <c r="N24" s="9">
        <f t="shared" si="8"/>
        <v>584558.532</v>
      </c>
      <c r="O24" s="9">
        <f t="shared" si="9"/>
        <v>2652802.629</v>
      </c>
      <c r="P24" s="9">
        <f t="shared" si="6"/>
        <v>3237361.161</v>
      </c>
      <c r="Q24" s="9">
        <f>MIN(P24, Taxes!D24 + S24)</f>
        <v>0</v>
      </c>
      <c r="R24" s="9">
        <f t="shared" si="7"/>
        <v>3237361.161</v>
      </c>
      <c r="S24" s="9">
        <f>Taxes!F24</f>
        <v>0</v>
      </c>
      <c r="T24" s="9"/>
      <c r="U24" s="9"/>
      <c r="V24" s="9"/>
      <c r="W24" s="9"/>
      <c r="X24" s="9"/>
      <c r="Y24" s="9"/>
      <c r="Z24" s="9"/>
    </row>
    <row r="25" ht="15.75" customHeight="1">
      <c r="A25" s="7">
        <v>2049.0</v>
      </c>
      <c r="B25" s="9">
        <f>Taxes!M25</f>
        <v>53323.62743</v>
      </c>
      <c r="C25" s="9">
        <v>56847.0</v>
      </c>
      <c r="D25" s="9">
        <f t="shared" si="1"/>
        <v>3999.272057</v>
      </c>
      <c r="E25" s="9">
        <f t="shared" si="2"/>
        <v>52847.72794</v>
      </c>
      <c r="F25" s="9">
        <v>60000.0</v>
      </c>
      <c r="G25" s="9">
        <v>40400.0</v>
      </c>
      <c r="H25" s="9">
        <v>0.0</v>
      </c>
      <c r="I25" s="9">
        <f t="shared" si="3"/>
        <v>40400</v>
      </c>
      <c r="J25" s="9">
        <f t="shared" si="4"/>
        <v>40400</v>
      </c>
      <c r="K25" s="9">
        <v>3746.0</v>
      </c>
      <c r="L25" s="9">
        <v>4000.0</v>
      </c>
      <c r="M25" s="9">
        <f t="shared" si="5"/>
        <v>100993.7279</v>
      </c>
      <c r="N25" s="9">
        <f t="shared" si="8"/>
        <v>637168.7999</v>
      </c>
      <c r="O25" s="9">
        <f t="shared" si="9"/>
        <v>3237361.161</v>
      </c>
      <c r="P25" s="9">
        <f t="shared" si="6"/>
        <v>3874529.961</v>
      </c>
      <c r="Q25" s="9">
        <f>MIN(P25, Taxes!D25 + S25)</f>
        <v>0</v>
      </c>
      <c r="R25" s="9">
        <f t="shared" si="7"/>
        <v>3874529.961</v>
      </c>
      <c r="S25" s="9">
        <f>Taxes!F25</f>
        <v>0</v>
      </c>
      <c r="T25" s="9"/>
      <c r="U25" s="9"/>
      <c r="V25" s="9"/>
      <c r="W25" s="9"/>
      <c r="X25" s="9"/>
      <c r="Y25" s="9"/>
      <c r="Z25" s="9"/>
    </row>
    <row r="26" ht="15.75" customHeight="1">
      <c r="A26" s="7">
        <v>2050.0</v>
      </c>
      <c r="B26" s="9">
        <f>Taxes!M26</f>
        <v>53856.86371</v>
      </c>
      <c r="C26" s="9">
        <v>56847.0</v>
      </c>
      <c r="D26" s="9">
        <f t="shared" si="1"/>
        <v>4039.264778</v>
      </c>
      <c r="E26" s="9">
        <f t="shared" si="2"/>
        <v>52807.73522</v>
      </c>
      <c r="F26" s="9">
        <v>60000.0</v>
      </c>
      <c r="G26" s="9">
        <v>40400.0</v>
      </c>
      <c r="H26" s="9">
        <v>0.0</v>
      </c>
      <c r="I26" s="9">
        <f t="shared" si="3"/>
        <v>40400</v>
      </c>
      <c r="J26" s="9">
        <f t="shared" si="4"/>
        <v>40400</v>
      </c>
      <c r="K26" s="9">
        <v>3746.0</v>
      </c>
      <c r="L26" s="9">
        <v>4000.0</v>
      </c>
      <c r="M26" s="9">
        <f t="shared" si="5"/>
        <v>100953.7352</v>
      </c>
      <c r="N26" s="9">
        <f t="shared" si="8"/>
        <v>694513.9919</v>
      </c>
      <c r="O26" s="9">
        <f t="shared" si="9"/>
        <v>3874529.961</v>
      </c>
      <c r="P26" s="9">
        <f t="shared" si="6"/>
        <v>4569043.953</v>
      </c>
      <c r="Q26" s="9">
        <f>MIN(P26, Taxes!D26 + S26)</f>
        <v>0</v>
      </c>
      <c r="R26" s="9">
        <f t="shared" si="7"/>
        <v>4569043.953</v>
      </c>
      <c r="S26" s="9">
        <f>Taxes!F26</f>
        <v>0</v>
      </c>
      <c r="T26" s="9"/>
      <c r="U26" s="9"/>
      <c r="V26" s="9"/>
      <c r="W26" s="9"/>
      <c r="X26" s="9"/>
      <c r="Y26" s="9"/>
      <c r="Z26" s="9"/>
    </row>
    <row r="27" ht="15.75" customHeight="1">
      <c r="A27" s="7">
        <v>2051.0</v>
      </c>
      <c r="B27" s="9">
        <f>Taxes!M27</f>
        <v>54395.43234</v>
      </c>
      <c r="C27" s="9">
        <v>56847.0</v>
      </c>
      <c r="D27" s="9">
        <f t="shared" si="1"/>
        <v>4079.657426</v>
      </c>
      <c r="E27" s="9">
        <f t="shared" si="2"/>
        <v>52767.34257</v>
      </c>
      <c r="F27" s="9">
        <v>60000.0</v>
      </c>
      <c r="G27" s="9">
        <v>40400.0</v>
      </c>
      <c r="H27" s="9">
        <v>0.0</v>
      </c>
      <c r="I27" s="9">
        <f t="shared" si="3"/>
        <v>40400</v>
      </c>
      <c r="J27" s="9">
        <f t="shared" si="4"/>
        <v>40400</v>
      </c>
      <c r="K27" s="9">
        <v>3746.0</v>
      </c>
      <c r="L27" s="9">
        <v>4000.0</v>
      </c>
      <c r="M27" s="9">
        <f t="shared" si="5"/>
        <v>100913.3426</v>
      </c>
      <c r="N27" s="9">
        <f t="shared" si="8"/>
        <v>757020.2512</v>
      </c>
      <c r="O27" s="9">
        <f t="shared" si="9"/>
        <v>4569043.953</v>
      </c>
      <c r="P27" s="9">
        <f t="shared" si="6"/>
        <v>5326064.204</v>
      </c>
      <c r="Q27" s="9">
        <f>MIN(P27, Taxes!D27 + S27)</f>
        <v>0</v>
      </c>
      <c r="R27" s="9">
        <f t="shared" si="7"/>
        <v>5326064.204</v>
      </c>
      <c r="S27" s="9">
        <f>Taxes!F27</f>
        <v>0</v>
      </c>
      <c r="T27" s="9"/>
      <c r="U27" s="9"/>
      <c r="V27" s="9"/>
      <c r="W27" s="9"/>
      <c r="X27" s="9"/>
      <c r="Y27" s="9"/>
      <c r="Z27" s="9"/>
    </row>
    <row r="28" ht="15.75" customHeight="1">
      <c r="A28" s="7">
        <v>2052.0</v>
      </c>
      <c r="B28" s="9">
        <f>Taxes!M28</f>
        <v>54939.38667</v>
      </c>
      <c r="C28" s="9">
        <v>56847.0</v>
      </c>
      <c r="D28" s="9">
        <f t="shared" si="1"/>
        <v>4120.454</v>
      </c>
      <c r="E28" s="9">
        <f t="shared" si="2"/>
        <v>52726.546</v>
      </c>
      <c r="F28" s="9">
        <v>60000.0</v>
      </c>
      <c r="G28" s="9">
        <v>40400.0</v>
      </c>
      <c r="H28" s="9">
        <v>0.0</v>
      </c>
      <c r="I28" s="9">
        <f t="shared" si="3"/>
        <v>40400</v>
      </c>
      <c r="J28" s="9">
        <f t="shared" si="4"/>
        <v>40400</v>
      </c>
      <c r="K28" s="9">
        <v>3746.0</v>
      </c>
      <c r="L28" s="9">
        <v>4000.0</v>
      </c>
      <c r="M28" s="9">
        <f t="shared" si="5"/>
        <v>100872.546</v>
      </c>
      <c r="N28" s="9">
        <f t="shared" si="8"/>
        <v>825152.0738</v>
      </c>
      <c r="O28" s="9">
        <f t="shared" si="9"/>
        <v>5326064.204</v>
      </c>
      <c r="P28" s="9">
        <f t="shared" si="6"/>
        <v>6151216.278</v>
      </c>
      <c r="Q28" s="9">
        <f>MIN(P28, Taxes!D28 + S28)</f>
        <v>0</v>
      </c>
      <c r="R28" s="9">
        <f t="shared" si="7"/>
        <v>6151216.278</v>
      </c>
      <c r="S28" s="9">
        <f>Taxes!F28</f>
        <v>0</v>
      </c>
      <c r="T28" s="9"/>
      <c r="U28" s="9"/>
      <c r="V28" s="9"/>
      <c r="W28" s="9"/>
      <c r="X28" s="9"/>
      <c r="Y28" s="9"/>
      <c r="Z28" s="9"/>
    </row>
    <row r="29" ht="15.75" customHeight="1">
      <c r="A29" s="7">
        <v>2053.0</v>
      </c>
      <c r="B29" s="9">
        <f>Taxes!M29</f>
        <v>55488.78053</v>
      </c>
      <c r="C29" s="9">
        <v>56847.0</v>
      </c>
      <c r="D29" s="9">
        <f t="shared" si="1"/>
        <v>4161.65854</v>
      </c>
      <c r="E29" s="9">
        <f t="shared" si="2"/>
        <v>52685.34146</v>
      </c>
      <c r="F29" s="9">
        <v>60000.0</v>
      </c>
      <c r="G29" s="9">
        <v>40400.0</v>
      </c>
      <c r="H29" s="9">
        <v>0.0</v>
      </c>
      <c r="I29" s="9">
        <f t="shared" si="3"/>
        <v>40400</v>
      </c>
      <c r="J29" s="9">
        <f t="shared" si="4"/>
        <v>40400</v>
      </c>
      <c r="K29" s="9">
        <v>3746.0</v>
      </c>
      <c r="L29" s="9">
        <v>4000.0</v>
      </c>
      <c r="M29" s="9">
        <f t="shared" si="5"/>
        <v>100831.3415</v>
      </c>
      <c r="N29" s="9">
        <f t="shared" si="8"/>
        <v>899415.7604</v>
      </c>
      <c r="O29" s="9">
        <f t="shared" si="9"/>
        <v>6151216.278</v>
      </c>
      <c r="P29" s="9">
        <f t="shared" si="6"/>
        <v>7050632.038</v>
      </c>
      <c r="Q29" s="9">
        <f>MIN(P29, Taxes!D29 + S29)</f>
        <v>0</v>
      </c>
      <c r="R29" s="9">
        <f t="shared" si="7"/>
        <v>7050632.038</v>
      </c>
      <c r="S29" s="9">
        <f>Taxes!F29</f>
        <v>0</v>
      </c>
      <c r="T29" s="9"/>
      <c r="U29" s="9"/>
      <c r="V29" s="9"/>
      <c r="W29" s="9"/>
      <c r="X29" s="9"/>
      <c r="Y29" s="9"/>
      <c r="Z29" s="9"/>
    </row>
    <row r="30" ht="15.75" customHeight="1">
      <c r="A30" s="7">
        <v>2054.0</v>
      </c>
      <c r="B30" s="9">
        <f>Taxes!M30</f>
        <v>56043.66834</v>
      </c>
      <c r="C30" s="9">
        <v>56847.0</v>
      </c>
      <c r="D30" s="9">
        <f t="shared" si="1"/>
        <v>4203.275125</v>
      </c>
      <c r="E30" s="9">
        <f t="shared" si="2"/>
        <v>52643.72487</v>
      </c>
      <c r="F30" s="9">
        <v>60000.0</v>
      </c>
      <c r="G30" s="9">
        <v>40400.0</v>
      </c>
      <c r="H30" s="9">
        <v>0.0</v>
      </c>
      <c r="I30" s="9">
        <f t="shared" si="3"/>
        <v>40400</v>
      </c>
      <c r="J30" s="9">
        <f t="shared" si="4"/>
        <v>40400</v>
      </c>
      <c r="K30" s="9">
        <v>3746.0</v>
      </c>
      <c r="L30" s="9">
        <v>4000.0</v>
      </c>
      <c r="M30" s="9">
        <f t="shared" si="5"/>
        <v>100789.7249</v>
      </c>
      <c r="N30" s="9">
        <f t="shared" si="8"/>
        <v>980363.1789</v>
      </c>
      <c r="O30" s="9">
        <f t="shared" si="9"/>
        <v>7050632.038</v>
      </c>
      <c r="P30" s="9">
        <f t="shared" si="6"/>
        <v>8030995.217</v>
      </c>
      <c r="Q30" s="9">
        <f>MIN(P30, Taxes!D30 + S30)</f>
        <v>0</v>
      </c>
      <c r="R30" s="9">
        <f t="shared" si="7"/>
        <v>8030995.217</v>
      </c>
      <c r="S30" s="9">
        <f>Taxes!F30</f>
        <v>0</v>
      </c>
      <c r="T30" s="9"/>
      <c r="U30" s="9"/>
      <c r="V30" s="9"/>
      <c r="W30" s="9"/>
      <c r="X30" s="9"/>
      <c r="Y30" s="9"/>
      <c r="Z30" s="9"/>
    </row>
    <row r="31" ht="15.75" customHeight="1">
      <c r="A31" s="7">
        <v>2055.0</v>
      </c>
      <c r="B31" s="9">
        <f>Taxes!M31</f>
        <v>56604.10502</v>
      </c>
      <c r="C31" s="9">
        <v>56847.0</v>
      </c>
      <c r="D31" s="9">
        <f t="shared" si="1"/>
        <v>4245.307877</v>
      </c>
      <c r="E31" s="9">
        <f t="shared" si="2"/>
        <v>52601.69212</v>
      </c>
      <c r="F31" s="9">
        <v>60000.0</v>
      </c>
      <c r="G31" s="9">
        <v>40400.0</v>
      </c>
      <c r="H31" s="9">
        <v>0.0</v>
      </c>
      <c r="I31" s="9">
        <f t="shared" si="3"/>
        <v>40400</v>
      </c>
      <c r="J31" s="9">
        <f t="shared" si="4"/>
        <v>40400</v>
      </c>
      <c r="K31" s="9">
        <v>3746.0</v>
      </c>
      <c r="L31" s="9">
        <v>4000.0</v>
      </c>
      <c r="M31" s="9">
        <f t="shared" si="5"/>
        <v>100747.6921</v>
      </c>
      <c r="N31" s="9">
        <f t="shared" si="8"/>
        <v>1068595.865</v>
      </c>
      <c r="O31" s="9">
        <f t="shared" si="9"/>
        <v>8030995.217</v>
      </c>
      <c r="P31" s="9">
        <f t="shared" si="6"/>
        <v>9099591.082</v>
      </c>
      <c r="Q31" s="9">
        <f>MIN(P31, Taxes!D31 + S31)</f>
        <v>0</v>
      </c>
      <c r="R31" s="9">
        <f t="shared" si="7"/>
        <v>9099591.082</v>
      </c>
      <c r="S31" s="9">
        <f>Taxes!F31</f>
        <v>0</v>
      </c>
      <c r="T31" s="9"/>
      <c r="U31" s="9"/>
      <c r="V31" s="9"/>
      <c r="W31" s="9"/>
      <c r="X31" s="9"/>
      <c r="Y31" s="9"/>
      <c r="Z31" s="9"/>
    </row>
    <row r="32" ht="15.75" customHeight="1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7">
        <v>2026.0</v>
      </c>
      <c r="B2" s="9">
        <v>65.0</v>
      </c>
      <c r="C2" s="9">
        <v>0.0</v>
      </c>
      <c r="D2" s="9">
        <v>32080.0</v>
      </c>
      <c r="E2" s="9">
        <v>28258.0</v>
      </c>
      <c r="F2" s="9">
        <f t="shared" ref="F2:F31" si="2">C2 + D2 + E2</f>
        <v>60338</v>
      </c>
      <c r="G2" s="9">
        <f>7272+41600</f>
        <v>48872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5.75" customHeight="1">
      <c r="A3" s="7">
        <f t="shared" ref="A3:B3" si="1">A2+1</f>
        <v>2027</v>
      </c>
      <c r="B3" s="9">
        <f t="shared" si="1"/>
        <v>66</v>
      </c>
      <c r="C3" s="9">
        <v>86000.0</v>
      </c>
      <c r="D3" s="9">
        <v>50400.0</v>
      </c>
      <c r="E3" s="9">
        <f>'Inherited and Roth IRA'!G3</f>
        <v>33717.13315</v>
      </c>
      <c r="F3" s="9">
        <f t="shared" si="2"/>
        <v>170117.1331</v>
      </c>
      <c r="G3" s="9">
        <f>'Capital Gains'!G3*Assumptions!B$6</f>
        <v>17049.30522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7">
        <f t="shared" ref="A4:B4" si="3">A3+1</f>
        <v>2028</v>
      </c>
      <c r="B4" s="9">
        <f t="shared" si="3"/>
        <v>67</v>
      </c>
      <c r="C4" s="9">
        <v>86000.0</v>
      </c>
      <c r="D4" s="9">
        <f t="shared" ref="D4:D31" si="5">D3*1.01</f>
        <v>50904</v>
      </c>
      <c r="E4" s="9">
        <f>'Inherited and Roth IRA'!G4</f>
        <v>37088.84646</v>
      </c>
      <c r="F4" s="9">
        <f t="shared" si="2"/>
        <v>173992.8465</v>
      </c>
      <c r="G4" s="9">
        <f>'Capital Gains'!G4*Assumptions!B$6</f>
        <v>16872.89787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5.75" customHeight="1">
      <c r="A5" s="7">
        <f t="shared" ref="A5:B5" si="4">A4+1</f>
        <v>2029</v>
      </c>
      <c r="B5" s="9">
        <f t="shared" si="4"/>
        <v>68</v>
      </c>
      <c r="C5" s="9">
        <v>86000.0</v>
      </c>
      <c r="D5" s="9">
        <f t="shared" si="5"/>
        <v>51413.04</v>
      </c>
      <c r="E5" s="9">
        <f>'Inherited and Roth IRA'!G5</f>
        <v>40797.73111</v>
      </c>
      <c r="F5" s="9">
        <f t="shared" si="2"/>
        <v>178210.7711</v>
      </c>
      <c r="G5" s="9">
        <f>'Capital Gains'!G5*Assumptions!B$6</f>
        <v>16609.67049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5.75" customHeight="1">
      <c r="A6" s="7">
        <f t="shared" ref="A6:B6" si="6">A5+1</f>
        <v>2030</v>
      </c>
      <c r="B6" s="9">
        <f t="shared" si="6"/>
        <v>69</v>
      </c>
      <c r="C6" s="9">
        <v>86000.0</v>
      </c>
      <c r="D6" s="9">
        <f t="shared" si="5"/>
        <v>51927.1704</v>
      </c>
      <c r="E6" s="9">
        <f>'Inherited and Roth IRA'!G6</f>
        <v>44877.50422</v>
      </c>
      <c r="F6" s="9">
        <f t="shared" si="2"/>
        <v>182804.6746</v>
      </c>
      <c r="G6" s="9">
        <f>'Capital Gains'!G6*Assumptions!B$6</f>
        <v>16249.12884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5.75" customHeight="1">
      <c r="A7" s="7">
        <f t="shared" ref="A7:B7" si="7">A6+1</f>
        <v>2031</v>
      </c>
      <c r="B7" s="9">
        <f t="shared" si="7"/>
        <v>70</v>
      </c>
      <c r="C7" s="9">
        <v>86000.0</v>
      </c>
      <c r="D7" s="9">
        <f t="shared" si="5"/>
        <v>52446.4421</v>
      </c>
      <c r="E7" s="9">
        <f>'Inherited and Roth IRA'!G7</f>
        <v>49365.25464</v>
      </c>
      <c r="F7" s="9">
        <f t="shared" si="2"/>
        <v>187811.6967</v>
      </c>
      <c r="G7" s="9">
        <f>'Capital Gains'!G7*Assumptions!B$6</f>
        <v>15779.70814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.75" customHeight="1">
      <c r="A8" s="7">
        <f t="shared" ref="A8:B8" si="8">A7+1</f>
        <v>2032</v>
      </c>
      <c r="B8" s="9">
        <f t="shared" si="8"/>
        <v>71</v>
      </c>
      <c r="C8" s="9">
        <v>86000.0</v>
      </c>
      <c r="D8" s="9">
        <f t="shared" si="5"/>
        <v>52970.90653</v>
      </c>
      <c r="E8" s="9">
        <f>'Inherited and Roth IRA'!G8</f>
        <v>54301.78011</v>
      </c>
      <c r="F8" s="9">
        <f t="shared" si="2"/>
        <v>193272.6866</v>
      </c>
      <c r="G8" s="9">
        <f>'Capital Gains'!G8*Assumptions!B$6</f>
        <v>15188.66913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.75" customHeight="1">
      <c r="A9" s="7">
        <f t="shared" ref="A9:B9" si="9">A8+1</f>
        <v>2033</v>
      </c>
      <c r="B9" s="9">
        <f t="shared" si="9"/>
        <v>72</v>
      </c>
      <c r="C9" s="9">
        <v>86000.0</v>
      </c>
      <c r="D9" s="9">
        <f t="shared" si="5"/>
        <v>53500.61559</v>
      </c>
      <c r="E9" s="9">
        <f>'Inherited and Roth IRA'!G9</f>
        <v>59731.95812</v>
      </c>
      <c r="F9" s="9">
        <f t="shared" si="2"/>
        <v>199232.5737</v>
      </c>
      <c r="G9" s="9">
        <f>'Capital Gains'!G9*Assumptions!B$6</f>
        <v>14461.98418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.75" customHeight="1">
      <c r="A10" s="7">
        <f t="shared" ref="A10:B10" si="10">A9+1</f>
        <v>2034</v>
      </c>
      <c r="B10" s="9">
        <f t="shared" si="10"/>
        <v>73</v>
      </c>
      <c r="C10" s="9">
        <v>86000.0</v>
      </c>
      <c r="D10" s="9">
        <f t="shared" si="5"/>
        <v>54035.62175</v>
      </c>
      <c r="E10" s="9">
        <f>'Inherited and Roth IRA'!G10</f>
        <v>65705.15393</v>
      </c>
      <c r="F10" s="9">
        <f t="shared" si="2"/>
        <v>205740.7757</v>
      </c>
      <c r="G10" s="9">
        <f>'Capital Gains'!G10*Assumptions!B$6</f>
        <v>13584.21255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.75" customHeight="1">
      <c r="A11" s="7">
        <f t="shared" ref="A11:B11" si="11">A10+1</f>
        <v>2035</v>
      </c>
      <c r="B11" s="9">
        <f t="shared" si="11"/>
        <v>74</v>
      </c>
      <c r="C11" s="9">
        <v>86000.0</v>
      </c>
      <c r="D11" s="9">
        <f t="shared" si="5"/>
        <v>54575.97796</v>
      </c>
      <c r="E11" s="9">
        <f>'Inherited and Roth IRA'!G11</f>
        <v>72275.66932</v>
      </c>
      <c r="F11" s="9">
        <f t="shared" si="2"/>
        <v>212851.6473</v>
      </c>
      <c r="G11" s="9">
        <f>'Capital Gains'!G11*Assumptions!B$6</f>
        <v>12538.36387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.75" customHeight="1">
      <c r="A12" s="7">
        <f t="shared" ref="A12:B12" si="12">A11+1</f>
        <v>2036</v>
      </c>
      <c r="B12" s="9">
        <f t="shared" si="12"/>
        <v>75</v>
      </c>
      <c r="C12" s="9">
        <v>86000.0</v>
      </c>
      <c r="D12" s="9">
        <f t="shared" si="5"/>
        <v>55121.73774</v>
      </c>
      <c r="E12" s="9">
        <f>'Inherited and Roth IRA'!G12</f>
        <v>79503.23626</v>
      </c>
      <c r="F12" s="9">
        <f t="shared" si="2"/>
        <v>220624.974</v>
      </c>
      <c r="G12" s="9">
        <f>'Capital Gains'!G12*Assumptions!B$6</f>
        <v>11305.74865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7">
        <f t="shared" ref="A13:B13" si="13">A12+1</f>
        <v>2037</v>
      </c>
      <c r="B13" s="9">
        <f t="shared" si="13"/>
        <v>76</v>
      </c>
      <c r="C13" s="9">
        <v>86000.0</v>
      </c>
      <c r="D13" s="9">
        <f t="shared" si="5"/>
        <v>55672.95512</v>
      </c>
      <c r="E13" s="9">
        <f>'Inherited and Roth IRA'!G13</f>
        <v>87453.55988</v>
      </c>
      <c r="F13" s="9">
        <f t="shared" si="2"/>
        <v>229126.515</v>
      </c>
      <c r="G13" s="9">
        <f>'Capital Gains'!G13*Assumptions!B$6</f>
        <v>9865.814559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7">
        <f t="shared" ref="A14:B14" si="14">A13+1</f>
        <v>2038</v>
      </c>
      <c r="B14" s="9">
        <f t="shared" si="14"/>
        <v>77</v>
      </c>
      <c r="C14" s="9">
        <v>86000.0</v>
      </c>
      <c r="D14" s="9">
        <f t="shared" si="5"/>
        <v>56229.68467</v>
      </c>
      <c r="E14" s="9">
        <f>'Inherited and Roth IRA'!G14</f>
        <v>96198.91587</v>
      </c>
      <c r="F14" s="9">
        <f t="shared" si="2"/>
        <v>238428.6005</v>
      </c>
      <c r="G14" s="9">
        <f>'Capital Gains'!G14*Assumptions!B$6</f>
        <v>8195.96729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.75" customHeight="1">
      <c r="A15" s="7">
        <f t="shared" ref="A15:B15" si="15">A14+1</f>
        <v>2039</v>
      </c>
      <c r="B15" s="9">
        <f t="shared" si="15"/>
        <v>78</v>
      </c>
      <c r="C15" s="9">
        <v>86000.0</v>
      </c>
      <c r="D15" s="9">
        <f t="shared" si="5"/>
        <v>56791.98152</v>
      </c>
      <c r="E15" s="9">
        <f>'Inherited and Roth IRA'!G15</f>
        <v>105818.8075</v>
      </c>
      <c r="F15" s="9">
        <f t="shared" si="2"/>
        <v>248610.789</v>
      </c>
      <c r="G15" s="9">
        <f>'Capital Gains'!G15*Assumptions!B$6</f>
        <v>6271.374443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.75" customHeight="1">
      <c r="A16" s="7">
        <f t="shared" ref="A16:B16" si="16">A15+1</f>
        <v>2040</v>
      </c>
      <c r="B16" s="9">
        <f t="shared" si="16"/>
        <v>79</v>
      </c>
      <c r="C16" s="9">
        <v>86000.0</v>
      </c>
      <c r="D16" s="9">
        <f t="shared" si="5"/>
        <v>57359.90133</v>
      </c>
      <c r="E16" s="9">
        <f>'Inherited and Roth IRA'!G16</f>
        <v>116400.6882</v>
      </c>
      <c r="F16" s="9">
        <f t="shared" si="2"/>
        <v>259760.5895</v>
      </c>
      <c r="G16" s="9">
        <f>'Capital Gains'!G16*Assumptions!B$6</f>
        <v>4064.7509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.75" customHeight="1">
      <c r="A17" s="7">
        <f t="shared" ref="A17:B17" si="17">A16+1</f>
        <v>2041</v>
      </c>
      <c r="B17" s="9">
        <f t="shared" si="17"/>
        <v>80</v>
      </c>
      <c r="C17" s="9">
        <v>86000.0</v>
      </c>
      <c r="D17" s="9">
        <f t="shared" si="5"/>
        <v>57933.50035</v>
      </c>
      <c r="E17" s="9">
        <f>'Inherited and Roth IRA'!G17</f>
        <v>128040.757</v>
      </c>
      <c r="F17" s="9">
        <f t="shared" si="2"/>
        <v>271974.2574</v>
      </c>
      <c r="G17" s="9">
        <f>'Capital Gains'!G17*Assumptions!B$6</f>
        <v>1546.123944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.75" customHeight="1">
      <c r="A18" s="7">
        <f t="shared" ref="A18:B18" si="18">A17+1</f>
        <v>2042</v>
      </c>
      <c r="B18" s="9">
        <f t="shared" si="18"/>
        <v>81</v>
      </c>
      <c r="C18" s="9">
        <v>86000.0</v>
      </c>
      <c r="D18" s="9">
        <f t="shared" si="5"/>
        <v>58512.83535</v>
      </c>
      <c r="E18" s="9">
        <f>'Inherited and Roth IRA'!G18</f>
        <v>140844.8327</v>
      </c>
      <c r="F18" s="9">
        <f t="shared" si="2"/>
        <v>285357.6681</v>
      </c>
      <c r="G18" s="9">
        <f>'Capital Gains'!G18*Assumptions!B$6</f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.75" customHeight="1">
      <c r="A19" s="7">
        <f t="shared" ref="A19:B19" si="19">A18+1</f>
        <v>2043</v>
      </c>
      <c r="B19" s="9">
        <f t="shared" si="19"/>
        <v>82</v>
      </c>
      <c r="C19" s="9">
        <v>86000.0</v>
      </c>
      <c r="D19" s="9">
        <f t="shared" si="5"/>
        <v>59097.9637</v>
      </c>
      <c r="E19" s="9">
        <f>'Inherited and Roth IRA'!G19</f>
        <v>154929.316</v>
      </c>
      <c r="F19" s="9">
        <f t="shared" si="2"/>
        <v>300027.2797</v>
      </c>
      <c r="G19" s="9">
        <f>'Capital Gains'!G19*Assumptions!B$6</f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7">
        <f t="shared" ref="A20:B20" si="20">A19+1</f>
        <v>2044</v>
      </c>
      <c r="B20" s="9">
        <f t="shared" si="20"/>
        <v>83</v>
      </c>
      <c r="C20" s="9">
        <v>86000.0</v>
      </c>
      <c r="D20" s="9">
        <f t="shared" si="5"/>
        <v>59688.94334</v>
      </c>
      <c r="E20" s="9">
        <f>'Inherited and Roth IRA'!G20</f>
        <v>85211.1238</v>
      </c>
      <c r="F20" s="9">
        <f t="shared" si="2"/>
        <v>230900.0671</v>
      </c>
      <c r="G20" s="9">
        <f>'Capital Gains'!G20*Assumptions!B$6</f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7">
        <f t="shared" ref="A21:B21" si="21">A20+1</f>
        <v>2045</v>
      </c>
      <c r="B21" s="9">
        <f t="shared" si="21"/>
        <v>84</v>
      </c>
      <c r="C21" s="9">
        <v>86000.0</v>
      </c>
      <c r="D21" s="9">
        <f t="shared" si="5"/>
        <v>60285.83277</v>
      </c>
      <c r="E21" s="9">
        <f>'Inherited and Roth IRA'!G21</f>
        <v>0</v>
      </c>
      <c r="F21" s="9">
        <f t="shared" si="2"/>
        <v>146285.8328</v>
      </c>
      <c r="G21" s="9">
        <f>'Capital Gains'!G21*Assumptions!B$6</f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7">
        <f t="shared" ref="A22:B22" si="22">A21+1</f>
        <v>2046</v>
      </c>
      <c r="B22" s="9">
        <f t="shared" si="22"/>
        <v>85</v>
      </c>
      <c r="C22" s="9">
        <v>86000.0</v>
      </c>
      <c r="D22" s="9">
        <f t="shared" si="5"/>
        <v>60888.6911</v>
      </c>
      <c r="E22" s="9">
        <f>'Inherited and Roth IRA'!G22</f>
        <v>0</v>
      </c>
      <c r="F22" s="9">
        <f t="shared" si="2"/>
        <v>146888.6911</v>
      </c>
      <c r="G22" s="9">
        <f>'Capital Gains'!G22*Assumptions!B$6</f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7">
        <f t="shared" ref="A23:B23" si="23">A22+1</f>
        <v>2047</v>
      </c>
      <c r="B23" s="9">
        <f t="shared" si="23"/>
        <v>86</v>
      </c>
      <c r="C23" s="9">
        <v>86000.0</v>
      </c>
      <c r="D23" s="9">
        <f t="shared" si="5"/>
        <v>61497.57801</v>
      </c>
      <c r="E23" s="9">
        <f>'Inherited and Roth IRA'!G23</f>
        <v>0</v>
      </c>
      <c r="F23" s="9">
        <f t="shared" si="2"/>
        <v>147497.578</v>
      </c>
      <c r="G23" s="9">
        <f>'Capital Gains'!G23*Assumptions!B$6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7">
        <f t="shared" ref="A24:B24" si="24">A23+1</f>
        <v>2048</v>
      </c>
      <c r="B24" s="9">
        <f t="shared" si="24"/>
        <v>87</v>
      </c>
      <c r="C24" s="9">
        <v>86000.0</v>
      </c>
      <c r="D24" s="9">
        <f t="shared" si="5"/>
        <v>62112.55379</v>
      </c>
      <c r="E24" s="9">
        <f>'Inherited and Roth IRA'!G24</f>
        <v>0</v>
      </c>
      <c r="F24" s="9">
        <f t="shared" si="2"/>
        <v>148112.5538</v>
      </c>
      <c r="G24" s="9">
        <f>'Capital Gains'!G24*Assumptions!B$6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7">
        <f t="shared" ref="A25:B25" si="25">A24+1</f>
        <v>2049</v>
      </c>
      <c r="B25" s="9">
        <f t="shared" si="25"/>
        <v>88</v>
      </c>
      <c r="C25" s="9">
        <v>86000.0</v>
      </c>
      <c r="D25" s="9">
        <f t="shared" si="5"/>
        <v>62733.67933</v>
      </c>
      <c r="E25" s="9">
        <f>'Inherited and Roth IRA'!G25</f>
        <v>0</v>
      </c>
      <c r="F25" s="9">
        <f t="shared" si="2"/>
        <v>148733.6793</v>
      </c>
      <c r="G25" s="9">
        <f>'Capital Gains'!G25*Assumptions!B$6</f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7">
        <f t="shared" ref="A26:B26" si="26">A25+1</f>
        <v>2050</v>
      </c>
      <c r="B26" s="9">
        <f t="shared" si="26"/>
        <v>89</v>
      </c>
      <c r="C26" s="9">
        <v>86000.0</v>
      </c>
      <c r="D26" s="9">
        <f t="shared" si="5"/>
        <v>63361.01612</v>
      </c>
      <c r="E26" s="9">
        <f>'Inherited and Roth IRA'!G26</f>
        <v>0</v>
      </c>
      <c r="F26" s="9">
        <f t="shared" si="2"/>
        <v>149361.0161</v>
      </c>
      <c r="G26" s="9">
        <f>'Capital Gains'!G26*Assumptions!B$6</f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7">
        <f t="shared" ref="A27:B27" si="27">A26+1</f>
        <v>2051</v>
      </c>
      <c r="B27" s="9">
        <f t="shared" si="27"/>
        <v>90</v>
      </c>
      <c r="C27" s="9">
        <v>86000.0</v>
      </c>
      <c r="D27" s="9">
        <f t="shared" si="5"/>
        <v>63994.62629</v>
      </c>
      <c r="E27" s="9">
        <f>'Inherited and Roth IRA'!G27</f>
        <v>0</v>
      </c>
      <c r="F27" s="9">
        <f t="shared" si="2"/>
        <v>149994.6263</v>
      </c>
      <c r="G27" s="9">
        <f>'Capital Gains'!G27*Assumptions!B$6</f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7">
        <f t="shared" ref="A28:B28" si="28">A27+1</f>
        <v>2052</v>
      </c>
      <c r="B28" s="9">
        <f t="shared" si="28"/>
        <v>91</v>
      </c>
      <c r="C28" s="9">
        <v>86000.0</v>
      </c>
      <c r="D28" s="9">
        <f t="shared" si="5"/>
        <v>64634.57255</v>
      </c>
      <c r="E28" s="9">
        <f>'Inherited and Roth IRA'!G28</f>
        <v>0</v>
      </c>
      <c r="F28" s="9">
        <f t="shared" si="2"/>
        <v>150634.5725</v>
      </c>
      <c r="G28" s="9">
        <f>'Capital Gains'!G28*Assumptions!B$6</f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7">
        <f t="shared" ref="A29:B29" si="29">A28+1</f>
        <v>2053</v>
      </c>
      <c r="B29" s="9">
        <f t="shared" si="29"/>
        <v>92</v>
      </c>
      <c r="C29" s="9">
        <v>86000.0</v>
      </c>
      <c r="D29" s="9">
        <f t="shared" si="5"/>
        <v>65280.91827</v>
      </c>
      <c r="E29" s="9">
        <f>'Inherited and Roth IRA'!G29</f>
        <v>0</v>
      </c>
      <c r="F29" s="9">
        <f t="shared" si="2"/>
        <v>151280.9183</v>
      </c>
      <c r="G29" s="9">
        <f>'Capital Gains'!G29*Assumptions!B$6</f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7">
        <f t="shared" ref="A30:B30" si="30">A29+1</f>
        <v>2054</v>
      </c>
      <c r="B30" s="9">
        <f t="shared" si="30"/>
        <v>93</v>
      </c>
      <c r="C30" s="9">
        <v>86000.0</v>
      </c>
      <c r="D30" s="9">
        <f t="shared" si="5"/>
        <v>65933.72746</v>
      </c>
      <c r="E30" s="9">
        <f>'Inherited and Roth IRA'!G30</f>
        <v>0</v>
      </c>
      <c r="F30" s="9">
        <f t="shared" si="2"/>
        <v>151933.7275</v>
      </c>
      <c r="G30" s="9">
        <f>'Capital Gains'!G30*Assumptions!B$6</f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7">
        <f t="shared" ref="A31:B31" si="31">A30+1</f>
        <v>2055</v>
      </c>
      <c r="B31" s="9">
        <f t="shared" si="31"/>
        <v>94</v>
      </c>
      <c r="C31" s="9">
        <v>86000.0</v>
      </c>
      <c r="D31" s="9">
        <f t="shared" si="5"/>
        <v>66593.06473</v>
      </c>
      <c r="E31" s="9">
        <f>'Inherited and Roth IRA'!G31</f>
        <v>0</v>
      </c>
      <c r="F31" s="9">
        <f t="shared" si="2"/>
        <v>152593.0647</v>
      </c>
      <c r="G31" s="9">
        <f>'Capital Gains'!G31*Assumptions!B$6</f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.5"/>
  </cols>
  <sheetData>
    <row r="1" ht="15.75" customHeight="1">
      <c r="A1" s="1" t="s">
        <v>0</v>
      </c>
      <c r="B1" s="1" t="s">
        <v>1</v>
      </c>
      <c r="C1" s="1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1"/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7">
        <v>2026.0</v>
      </c>
      <c r="B2" s="7">
        <v>65.0</v>
      </c>
      <c r="C2" s="7">
        <v>18.5</v>
      </c>
      <c r="D2" s="9">
        <f>Assumptions!G3</f>
        <v>623766.9633</v>
      </c>
      <c r="E2" s="9">
        <f t="shared" ref="E2:E31" si="2">IF(D2&lt;=0, 0, MIN(D2, D2/C2))</f>
        <v>33717.13315</v>
      </c>
      <c r="F2" s="9">
        <f>MIN(D2 - E2, MAX(0, Assumptions!$B$28 - E2))</f>
        <v>0</v>
      </c>
      <c r="G2" s="9">
        <f t="shared" ref="G2:G31" si="3">E2 + F2</f>
        <v>33717.13315</v>
      </c>
      <c r="H2" s="9">
        <f>Assumptions!G3-G2</f>
        <v>590049.8301</v>
      </c>
      <c r="J2" s="9">
        <v>1039869.0</v>
      </c>
      <c r="K2" s="9">
        <v>200000.0</v>
      </c>
      <c r="L2" s="9">
        <f t="shared" ref="L2:L31" si="4">if(K2&gt;0,0,999999)</f>
        <v>0</v>
      </c>
      <c r="M2" s="9">
        <f>Assumptions!G4</f>
        <v>2133346.225</v>
      </c>
      <c r="N2" s="9">
        <f>'Cash Flow'!G2</f>
        <v>0</v>
      </c>
      <c r="O2" s="9">
        <f t="shared" ref="O2:O31" si="5">M2-N2</f>
        <v>2133346.225</v>
      </c>
    </row>
    <row r="3" ht="15.75" customHeight="1">
      <c r="A3" s="7">
        <f t="shared" ref="A3:B3" si="1">A2+1</f>
        <v>2027</v>
      </c>
      <c r="B3" s="7">
        <f t="shared" si="1"/>
        <v>66</v>
      </c>
      <c r="C3" s="7">
        <f t="shared" ref="C3:C31" si="7">IF(D3&lt;=0, 0, MAX(1, C2-1))</f>
        <v>17.5</v>
      </c>
      <c r="D3" s="9">
        <f t="shared" ref="D3:D31" si="8">H2</f>
        <v>590049.8301</v>
      </c>
      <c r="E3" s="9">
        <f t="shared" si="2"/>
        <v>33717.13315</v>
      </c>
      <c r="F3" s="9">
        <f>MIN(D3 - E3, MAX(0, Assumptions!$B$28 - E3))</f>
        <v>0</v>
      </c>
      <c r="G3" s="9">
        <f t="shared" si="3"/>
        <v>33717.13315</v>
      </c>
      <c r="H3" s="9">
        <f>MAX(0, (D3-G3)*(1+Assumptions!B$8))</f>
        <v>611965.9667</v>
      </c>
      <c r="J3" s="9">
        <f t="shared" ref="J3:J11" si="9">max(0,((J2-K2)*1.1))</f>
        <v>923855.9</v>
      </c>
      <c r="K3" s="9">
        <f t="shared" ref="K3:K7" si="10">K2</f>
        <v>200000</v>
      </c>
      <c r="L3" s="9">
        <f t="shared" si="4"/>
        <v>0</v>
      </c>
      <c r="M3" s="9">
        <f t="shared" ref="M3:M31" si="11">(O2*1.1)</f>
        <v>2346680.848</v>
      </c>
      <c r="N3" s="9">
        <f>'Cash Flow'!G3</f>
        <v>0</v>
      </c>
      <c r="O3" s="9">
        <f t="shared" si="5"/>
        <v>2346680.848</v>
      </c>
    </row>
    <row r="4" ht="15.75" customHeight="1">
      <c r="A4" s="7">
        <f t="shared" ref="A4:B4" si="6">A3+1</f>
        <v>2028</v>
      </c>
      <c r="B4" s="7">
        <f t="shared" si="6"/>
        <v>67</v>
      </c>
      <c r="C4" s="7">
        <f t="shared" si="7"/>
        <v>16.5</v>
      </c>
      <c r="D4" s="9">
        <f t="shared" si="8"/>
        <v>611965.9667</v>
      </c>
      <c r="E4" s="9">
        <f t="shared" si="2"/>
        <v>37088.84646</v>
      </c>
      <c r="F4" s="9">
        <f>MIN(D4 - E4, MAX(0, Assumptions!$B$28 - E4))</f>
        <v>0</v>
      </c>
      <c r="G4" s="9">
        <f t="shared" si="3"/>
        <v>37088.84646</v>
      </c>
      <c r="H4" s="9">
        <f>MAX(0, (D4-G4)*(1+Assumptions!B$8))</f>
        <v>632364.8322</v>
      </c>
      <c r="J4" s="9">
        <f t="shared" si="9"/>
        <v>796241.49</v>
      </c>
      <c r="K4" s="9">
        <f t="shared" si="10"/>
        <v>200000</v>
      </c>
      <c r="L4" s="9">
        <f t="shared" si="4"/>
        <v>0</v>
      </c>
      <c r="M4" s="9">
        <f t="shared" si="11"/>
        <v>2581348.933</v>
      </c>
      <c r="N4" s="9">
        <f>'Cash Flow'!G4</f>
        <v>0</v>
      </c>
      <c r="O4" s="9">
        <f t="shared" si="5"/>
        <v>2581348.933</v>
      </c>
    </row>
    <row r="5" ht="15.75" customHeight="1">
      <c r="A5" s="7">
        <f t="shared" ref="A5:B5" si="12">A4+1</f>
        <v>2029</v>
      </c>
      <c r="B5" s="7">
        <f t="shared" si="12"/>
        <v>68</v>
      </c>
      <c r="C5" s="7">
        <f t="shared" si="7"/>
        <v>15.5</v>
      </c>
      <c r="D5" s="9">
        <f t="shared" si="8"/>
        <v>632364.8322</v>
      </c>
      <c r="E5" s="9">
        <f t="shared" si="2"/>
        <v>40797.73111</v>
      </c>
      <c r="F5" s="9">
        <f>MIN(D5 - E5, MAX(0, Assumptions!$B$28 - E5))</f>
        <v>0</v>
      </c>
      <c r="G5" s="9">
        <f t="shared" si="3"/>
        <v>40797.73111</v>
      </c>
      <c r="H5" s="9">
        <f>MAX(0, (D5-G5)*(1+Assumptions!B$8))</f>
        <v>650723.8112</v>
      </c>
      <c r="J5" s="9">
        <f t="shared" si="9"/>
        <v>655865.639</v>
      </c>
      <c r="K5" s="9">
        <f t="shared" si="10"/>
        <v>200000</v>
      </c>
      <c r="L5" s="9">
        <f t="shared" si="4"/>
        <v>0</v>
      </c>
      <c r="M5" s="9">
        <f t="shared" si="11"/>
        <v>2839483.826</v>
      </c>
      <c r="N5" s="9">
        <f>'Cash Flow'!G5</f>
        <v>0</v>
      </c>
      <c r="O5" s="9">
        <f t="shared" si="5"/>
        <v>2839483.826</v>
      </c>
    </row>
    <row r="6" ht="15.75" customHeight="1">
      <c r="A6" s="7">
        <f t="shared" ref="A6:B6" si="13">A5+1</f>
        <v>2030</v>
      </c>
      <c r="B6" s="7">
        <f t="shared" si="13"/>
        <v>69</v>
      </c>
      <c r="C6" s="7">
        <f t="shared" si="7"/>
        <v>14.5</v>
      </c>
      <c r="D6" s="9">
        <f t="shared" si="8"/>
        <v>650723.8112</v>
      </c>
      <c r="E6" s="9">
        <f t="shared" si="2"/>
        <v>44877.50422</v>
      </c>
      <c r="F6" s="9">
        <f>MIN(D6 - E6, MAX(0, Assumptions!$B$28 - E6))</f>
        <v>0</v>
      </c>
      <c r="G6" s="9">
        <f t="shared" si="3"/>
        <v>44877.50422</v>
      </c>
      <c r="H6" s="9">
        <f>MAX(0, (D6-G6)*(1+Assumptions!B$8))</f>
        <v>666430.9377</v>
      </c>
      <c r="J6" s="9">
        <f t="shared" si="9"/>
        <v>501452.2029</v>
      </c>
      <c r="K6" s="9">
        <f t="shared" si="10"/>
        <v>200000</v>
      </c>
      <c r="L6" s="9">
        <f t="shared" si="4"/>
        <v>0</v>
      </c>
      <c r="M6" s="9">
        <f t="shared" si="11"/>
        <v>3123432.209</v>
      </c>
      <c r="N6" s="9">
        <f>'Cash Flow'!G6</f>
        <v>0</v>
      </c>
      <c r="O6" s="9">
        <f t="shared" si="5"/>
        <v>3123432.209</v>
      </c>
    </row>
    <row r="7" ht="15.75" customHeight="1">
      <c r="A7" s="7">
        <f t="shared" ref="A7:B7" si="14">A6+1</f>
        <v>2031</v>
      </c>
      <c r="B7" s="7">
        <f t="shared" si="14"/>
        <v>70</v>
      </c>
      <c r="C7" s="7">
        <f t="shared" si="7"/>
        <v>13.5</v>
      </c>
      <c r="D7" s="9">
        <f t="shared" si="8"/>
        <v>666430.9377</v>
      </c>
      <c r="E7" s="9">
        <f t="shared" si="2"/>
        <v>49365.25464</v>
      </c>
      <c r="F7" s="9">
        <f>MIN(D7 - E7, MAX(0, Assumptions!$B$28 - E7))</f>
        <v>0</v>
      </c>
      <c r="G7" s="9">
        <f t="shared" si="3"/>
        <v>49365.25464</v>
      </c>
      <c r="H7" s="9">
        <f>MAX(0, (D7-G7)*(1+Assumptions!B$8))</f>
        <v>678772.2514</v>
      </c>
      <c r="J7" s="9">
        <f t="shared" si="9"/>
        <v>331597.4232</v>
      </c>
      <c r="K7" s="9">
        <f t="shared" si="10"/>
        <v>200000</v>
      </c>
      <c r="L7" s="9">
        <f t="shared" si="4"/>
        <v>0</v>
      </c>
      <c r="M7" s="9">
        <f t="shared" si="11"/>
        <v>3435775.429</v>
      </c>
      <c r="N7" s="9">
        <f>'Cash Flow'!G7</f>
        <v>0</v>
      </c>
      <c r="O7" s="9">
        <f t="shared" si="5"/>
        <v>3435775.429</v>
      </c>
    </row>
    <row r="8" ht="15.75" customHeight="1">
      <c r="A8" s="7">
        <f t="shared" ref="A8:B8" si="15">A7+1</f>
        <v>2032</v>
      </c>
      <c r="B8" s="7">
        <f t="shared" si="15"/>
        <v>71</v>
      </c>
      <c r="C8" s="7">
        <f t="shared" si="7"/>
        <v>12.5</v>
      </c>
      <c r="D8" s="9">
        <f t="shared" si="8"/>
        <v>678772.2514</v>
      </c>
      <c r="E8" s="9">
        <f t="shared" si="2"/>
        <v>54301.78011</v>
      </c>
      <c r="F8" s="9">
        <f>MIN(D8 - E8, MAX(0, Assumptions!$B$28 - E8))</f>
        <v>0</v>
      </c>
      <c r="G8" s="9">
        <f t="shared" si="3"/>
        <v>54301.78011</v>
      </c>
      <c r="H8" s="9">
        <f>MAX(0, (D8-G8)*(1+Assumptions!B$8))</f>
        <v>686917.5184</v>
      </c>
      <c r="J8" s="9">
        <f t="shared" si="9"/>
        <v>144757.1655</v>
      </c>
      <c r="K8" s="9">
        <f>J8</f>
        <v>144757.1655</v>
      </c>
      <c r="L8" s="9">
        <f t="shared" si="4"/>
        <v>0</v>
      </c>
      <c r="M8" s="9">
        <f t="shared" si="11"/>
        <v>3779352.972</v>
      </c>
      <c r="N8" s="9">
        <f>'Cash Flow'!G8</f>
        <v>0</v>
      </c>
      <c r="O8" s="9">
        <f t="shared" si="5"/>
        <v>3779352.972</v>
      </c>
    </row>
    <row r="9" ht="15.75" customHeight="1">
      <c r="A9" s="7">
        <f t="shared" ref="A9:B9" si="16">A8+1</f>
        <v>2033</v>
      </c>
      <c r="B9" s="7">
        <f t="shared" si="16"/>
        <v>72</v>
      </c>
      <c r="C9" s="7">
        <f t="shared" si="7"/>
        <v>11.5</v>
      </c>
      <c r="D9" s="9">
        <f t="shared" si="8"/>
        <v>686917.5184</v>
      </c>
      <c r="E9" s="9">
        <f t="shared" si="2"/>
        <v>59731.95812</v>
      </c>
      <c r="F9" s="9">
        <f>MIN(D9 - E9, MAX(0, Assumptions!$B$28 - E9))</f>
        <v>0</v>
      </c>
      <c r="G9" s="9">
        <f t="shared" si="3"/>
        <v>59731.95812</v>
      </c>
      <c r="H9" s="9">
        <f>MAX(0, (D9-G9)*(1+Assumptions!B$8))</f>
        <v>689904.1163</v>
      </c>
      <c r="J9" s="9">
        <f t="shared" si="9"/>
        <v>0</v>
      </c>
      <c r="K9" s="9">
        <v>0.0</v>
      </c>
      <c r="L9" s="9">
        <f t="shared" si="4"/>
        <v>999999</v>
      </c>
      <c r="M9" s="9">
        <f t="shared" si="11"/>
        <v>4157288.27</v>
      </c>
      <c r="N9" s="9">
        <f>'Cash Flow'!G9</f>
        <v>0</v>
      </c>
      <c r="O9" s="9">
        <f t="shared" si="5"/>
        <v>4157288.27</v>
      </c>
    </row>
    <row r="10" ht="15.75" customHeight="1">
      <c r="A10" s="7">
        <f t="shared" ref="A10:B10" si="17">A9+1</f>
        <v>2034</v>
      </c>
      <c r="B10" s="7">
        <f t="shared" si="17"/>
        <v>73</v>
      </c>
      <c r="C10" s="7">
        <f t="shared" si="7"/>
        <v>10.5</v>
      </c>
      <c r="D10" s="9">
        <f t="shared" si="8"/>
        <v>689904.1163</v>
      </c>
      <c r="E10" s="9">
        <f t="shared" si="2"/>
        <v>65705.15393</v>
      </c>
      <c r="F10" s="9">
        <f>MIN(D10 - E10, MAX(0, Assumptions!$B$28 - E10))</f>
        <v>0</v>
      </c>
      <c r="G10" s="9">
        <f t="shared" si="3"/>
        <v>65705.15393</v>
      </c>
      <c r="H10" s="9">
        <f>MAX(0, (D10-G10)*(1+Assumptions!B$8))</f>
        <v>686618.8586</v>
      </c>
      <c r="J10" s="9">
        <f t="shared" si="9"/>
        <v>0</v>
      </c>
      <c r="K10" s="9">
        <f t="shared" ref="K10:K11" si="19">K9</f>
        <v>0</v>
      </c>
      <c r="L10" s="9">
        <f t="shared" si="4"/>
        <v>999999</v>
      </c>
      <c r="M10" s="9">
        <f t="shared" si="11"/>
        <v>4573017.097</v>
      </c>
      <c r="N10" s="9">
        <f>'Cash Flow'!G10</f>
        <v>0</v>
      </c>
      <c r="O10" s="9">
        <f t="shared" si="5"/>
        <v>4573017.097</v>
      </c>
    </row>
    <row r="11" ht="15.75" customHeight="1">
      <c r="A11" s="7">
        <f t="shared" ref="A11:B11" si="18">A10+1</f>
        <v>2035</v>
      </c>
      <c r="B11" s="7">
        <f t="shared" si="18"/>
        <v>74</v>
      </c>
      <c r="C11" s="7">
        <f t="shared" si="7"/>
        <v>9.5</v>
      </c>
      <c r="D11" s="9">
        <f t="shared" si="8"/>
        <v>686618.8586</v>
      </c>
      <c r="E11" s="9">
        <f t="shared" si="2"/>
        <v>72275.66932</v>
      </c>
      <c r="F11" s="9">
        <f>MIN(D11 - E11, MAX(0, Assumptions!$B$28 - E11))</f>
        <v>0</v>
      </c>
      <c r="G11" s="9">
        <f t="shared" si="3"/>
        <v>72275.66932</v>
      </c>
      <c r="H11" s="9">
        <f>MAX(0, (D11-G11)*(1+Assumptions!B$8))</f>
        <v>675777.5082</v>
      </c>
      <c r="J11" s="9">
        <f t="shared" si="9"/>
        <v>0</v>
      </c>
      <c r="K11" s="9">
        <f t="shared" si="19"/>
        <v>0</v>
      </c>
      <c r="L11" s="9">
        <f t="shared" si="4"/>
        <v>999999</v>
      </c>
      <c r="M11" s="9">
        <f t="shared" si="11"/>
        <v>5030318.806</v>
      </c>
      <c r="N11" s="9">
        <f>'Cash Flow'!G11</f>
        <v>0</v>
      </c>
      <c r="O11" s="9">
        <f t="shared" si="5"/>
        <v>5030318.806</v>
      </c>
    </row>
    <row r="12" ht="15.75" customHeight="1">
      <c r="A12" s="7">
        <f t="shared" ref="A12:B12" si="20">A11+1</f>
        <v>2036</v>
      </c>
      <c r="B12" s="7">
        <f t="shared" si="20"/>
        <v>75</v>
      </c>
      <c r="C12" s="7">
        <f t="shared" si="7"/>
        <v>8.5</v>
      </c>
      <c r="D12" s="9">
        <f t="shared" si="8"/>
        <v>675777.5082</v>
      </c>
      <c r="E12" s="9">
        <f t="shared" si="2"/>
        <v>79503.23626</v>
      </c>
      <c r="F12" s="9">
        <f>MIN(D12 - E12, MAX(0, Assumptions!$B$28 - E12))</f>
        <v>0</v>
      </c>
      <c r="G12" s="9">
        <f t="shared" si="3"/>
        <v>79503.23626</v>
      </c>
      <c r="H12" s="9">
        <f>MAX(0, (D12-G12)*(1+Assumptions!B$8))</f>
        <v>655901.6991</v>
      </c>
      <c r="J12" s="9"/>
      <c r="K12" s="9"/>
      <c r="L12" s="9">
        <f t="shared" si="4"/>
        <v>999999</v>
      </c>
      <c r="M12" s="9">
        <f t="shared" si="11"/>
        <v>5533350.687</v>
      </c>
      <c r="N12" s="9">
        <f>'Cash Flow'!G12</f>
        <v>0</v>
      </c>
      <c r="O12" s="9">
        <f t="shared" si="5"/>
        <v>5533350.687</v>
      </c>
    </row>
    <row r="13" ht="15.75" customHeight="1">
      <c r="A13" s="7">
        <f t="shared" ref="A13:B13" si="21">A12+1</f>
        <v>2037</v>
      </c>
      <c r="B13" s="7">
        <f t="shared" si="21"/>
        <v>76</v>
      </c>
      <c r="C13" s="7">
        <f t="shared" si="7"/>
        <v>7.5</v>
      </c>
      <c r="D13" s="9">
        <f t="shared" si="8"/>
        <v>655901.6991</v>
      </c>
      <c r="E13" s="9">
        <f t="shared" si="2"/>
        <v>87453.55988</v>
      </c>
      <c r="F13" s="9">
        <f>MIN(D13 - E13, MAX(0, Assumptions!$B$28 - E13))</f>
        <v>0</v>
      </c>
      <c r="G13" s="9">
        <f t="shared" si="3"/>
        <v>87453.55988</v>
      </c>
      <c r="H13" s="9">
        <f>MAX(0, (D13-G13)*(1+Assumptions!B$8))</f>
        <v>625292.9532</v>
      </c>
      <c r="J13" s="9"/>
      <c r="K13" s="9"/>
      <c r="L13" s="9">
        <f t="shared" si="4"/>
        <v>999999</v>
      </c>
      <c r="M13" s="9">
        <f t="shared" si="11"/>
        <v>6086685.756</v>
      </c>
      <c r="N13" s="9">
        <f>'Cash Flow'!G13</f>
        <v>0</v>
      </c>
      <c r="O13" s="9">
        <f t="shared" si="5"/>
        <v>6086685.756</v>
      </c>
    </row>
    <row r="14" ht="15.75" customHeight="1">
      <c r="A14" s="7">
        <f t="shared" ref="A14:B14" si="22">A13+1</f>
        <v>2038</v>
      </c>
      <c r="B14" s="7">
        <f t="shared" si="22"/>
        <v>77</v>
      </c>
      <c r="C14" s="7">
        <f t="shared" si="7"/>
        <v>6.5</v>
      </c>
      <c r="D14" s="9">
        <f t="shared" si="8"/>
        <v>625292.9532</v>
      </c>
      <c r="E14" s="9">
        <f t="shared" si="2"/>
        <v>96198.91587</v>
      </c>
      <c r="F14" s="9">
        <f>MIN(D14 - E14, MAX(0, Assumptions!$B$28 - E14))</f>
        <v>0</v>
      </c>
      <c r="G14" s="9">
        <f t="shared" si="3"/>
        <v>96198.91587</v>
      </c>
      <c r="H14" s="9">
        <f>MAX(0, (D14-G14)*(1+Assumptions!B$8))</f>
        <v>582003.441</v>
      </c>
      <c r="J14" s="9"/>
      <c r="K14" s="9"/>
      <c r="L14" s="9">
        <f t="shared" si="4"/>
        <v>999999</v>
      </c>
      <c r="M14" s="9">
        <f t="shared" si="11"/>
        <v>6695354.331</v>
      </c>
      <c r="N14" s="9">
        <f>'Cash Flow'!G14</f>
        <v>0</v>
      </c>
      <c r="O14" s="9">
        <f t="shared" si="5"/>
        <v>6695354.331</v>
      </c>
    </row>
    <row r="15" ht="15.75" customHeight="1">
      <c r="A15" s="7">
        <f t="shared" ref="A15:B15" si="23">A14+1</f>
        <v>2039</v>
      </c>
      <c r="B15" s="7">
        <f t="shared" si="23"/>
        <v>78</v>
      </c>
      <c r="C15" s="7">
        <f t="shared" si="7"/>
        <v>5.5</v>
      </c>
      <c r="D15" s="9">
        <f t="shared" si="8"/>
        <v>582003.441</v>
      </c>
      <c r="E15" s="9">
        <f t="shared" si="2"/>
        <v>105818.8075</v>
      </c>
      <c r="F15" s="9">
        <f>MIN(D15 - E15, MAX(0, Assumptions!$B$28 - E15))</f>
        <v>0</v>
      </c>
      <c r="G15" s="9">
        <f t="shared" si="3"/>
        <v>105818.8075</v>
      </c>
      <c r="H15" s="9">
        <f>MAX(0, (D15-G15)*(1+Assumptions!B$8))</f>
        <v>523803.0969</v>
      </c>
      <c r="J15" s="9"/>
      <c r="K15" s="9"/>
      <c r="L15" s="9">
        <f t="shared" si="4"/>
        <v>999999</v>
      </c>
      <c r="M15" s="9">
        <f t="shared" si="11"/>
        <v>7364889.764</v>
      </c>
      <c r="N15" s="9">
        <f>'Cash Flow'!G15</f>
        <v>0</v>
      </c>
      <c r="O15" s="9">
        <f t="shared" si="5"/>
        <v>7364889.764</v>
      </c>
    </row>
    <row r="16" ht="15.75" customHeight="1">
      <c r="A16" s="7">
        <f t="shared" ref="A16:B16" si="24">A15+1</f>
        <v>2040</v>
      </c>
      <c r="B16" s="7">
        <f t="shared" si="24"/>
        <v>79</v>
      </c>
      <c r="C16" s="7">
        <f t="shared" si="7"/>
        <v>4.5</v>
      </c>
      <c r="D16" s="9">
        <f t="shared" si="8"/>
        <v>523803.0969</v>
      </c>
      <c r="E16" s="9">
        <f t="shared" si="2"/>
        <v>116400.6882</v>
      </c>
      <c r="F16" s="9">
        <f>MIN(D16 - E16, MAX(0, Assumptions!$B$28 - E16))</f>
        <v>0</v>
      </c>
      <c r="G16" s="9">
        <f t="shared" si="3"/>
        <v>116400.6882</v>
      </c>
      <c r="H16" s="9">
        <f>MAX(0, (D16-G16)*(1+Assumptions!B$8))</f>
        <v>448142.6496</v>
      </c>
      <c r="J16" s="9"/>
      <c r="K16" s="9"/>
      <c r="L16" s="9">
        <f t="shared" si="4"/>
        <v>999999</v>
      </c>
      <c r="M16" s="9">
        <f t="shared" si="11"/>
        <v>8101378.741</v>
      </c>
      <c r="N16" s="9">
        <f>'Cash Flow'!G16</f>
        <v>0</v>
      </c>
      <c r="O16" s="9">
        <f t="shared" si="5"/>
        <v>8101378.741</v>
      </c>
    </row>
    <row r="17" ht="15.75" customHeight="1">
      <c r="A17" s="7">
        <f t="shared" ref="A17:B17" si="25">A16+1</f>
        <v>2041</v>
      </c>
      <c r="B17" s="7">
        <f t="shared" si="25"/>
        <v>80</v>
      </c>
      <c r="C17" s="7">
        <f t="shared" si="7"/>
        <v>3.5</v>
      </c>
      <c r="D17" s="9">
        <f t="shared" si="8"/>
        <v>448142.6496</v>
      </c>
      <c r="E17" s="9">
        <f t="shared" si="2"/>
        <v>128040.757</v>
      </c>
      <c r="F17" s="9">
        <f>MIN(D17 - E17, MAX(0, Assumptions!$B$28 - E17))</f>
        <v>0</v>
      </c>
      <c r="G17" s="9">
        <f t="shared" si="3"/>
        <v>128040.757</v>
      </c>
      <c r="H17" s="9">
        <f>MAX(0, (D17-G17)*(1+Assumptions!B$8))</f>
        <v>352112.0818</v>
      </c>
      <c r="J17" s="9"/>
      <c r="K17" s="9"/>
      <c r="L17" s="9">
        <f t="shared" si="4"/>
        <v>999999</v>
      </c>
      <c r="M17" s="9">
        <f t="shared" si="11"/>
        <v>8911516.615</v>
      </c>
      <c r="N17" s="9">
        <f>'Cash Flow'!G17</f>
        <v>276015.8696</v>
      </c>
      <c r="O17" s="9">
        <f t="shared" si="5"/>
        <v>8635500.745</v>
      </c>
    </row>
    <row r="18" ht="15.75" customHeight="1">
      <c r="A18" s="7">
        <f t="shared" ref="A18:B18" si="26">A17+1</f>
        <v>2042</v>
      </c>
      <c r="B18" s="7">
        <f t="shared" si="26"/>
        <v>81</v>
      </c>
      <c r="C18" s="7">
        <f t="shared" si="7"/>
        <v>2.5</v>
      </c>
      <c r="D18" s="9">
        <f t="shared" si="8"/>
        <v>352112.0818</v>
      </c>
      <c r="E18" s="9">
        <f t="shared" si="2"/>
        <v>140844.8327</v>
      </c>
      <c r="F18" s="9">
        <f>MIN(D18 - E18, MAX(0, Assumptions!$B$28 - E18))</f>
        <v>0</v>
      </c>
      <c r="G18" s="9">
        <f t="shared" si="3"/>
        <v>140844.8327</v>
      </c>
      <c r="H18" s="9">
        <f>MAX(0, (D18-G18)*(1+Assumptions!B$8))</f>
        <v>232393.974</v>
      </c>
      <c r="J18" s="9"/>
      <c r="K18" s="9"/>
      <c r="L18" s="9">
        <f t="shared" si="4"/>
        <v>999999</v>
      </c>
      <c r="M18" s="9">
        <f t="shared" si="11"/>
        <v>9499050.82</v>
      </c>
      <c r="N18" s="9">
        <f>'Cash Flow'!G18</f>
        <v>649422.7819</v>
      </c>
      <c r="O18" s="9">
        <f t="shared" si="5"/>
        <v>8849628.038</v>
      </c>
    </row>
    <row r="19" ht="15.75" customHeight="1">
      <c r="A19" s="7">
        <f t="shared" ref="A19:B19" si="27">A18+1</f>
        <v>2043</v>
      </c>
      <c r="B19" s="7">
        <f t="shared" si="27"/>
        <v>82</v>
      </c>
      <c r="C19" s="7">
        <f t="shared" si="7"/>
        <v>1.5</v>
      </c>
      <c r="D19" s="9">
        <f t="shared" si="8"/>
        <v>232393.974</v>
      </c>
      <c r="E19" s="9">
        <f t="shared" si="2"/>
        <v>154929.316</v>
      </c>
      <c r="F19" s="9">
        <f>MIN(D19 - E19, MAX(0, Assumptions!$B$28 - E19))</f>
        <v>0</v>
      </c>
      <c r="G19" s="9">
        <f t="shared" si="3"/>
        <v>154929.316</v>
      </c>
      <c r="H19" s="9">
        <f>MAX(0, (D19-G19)*(1+Assumptions!B$8))</f>
        <v>85211.1238</v>
      </c>
      <c r="J19" s="9"/>
      <c r="K19" s="9"/>
      <c r="L19" s="9">
        <f t="shared" si="4"/>
        <v>999999</v>
      </c>
      <c r="M19" s="9">
        <f t="shared" si="11"/>
        <v>9734590.842</v>
      </c>
      <c r="N19" s="9">
        <f>'Cash Flow'!G19</f>
        <v>662796.5838</v>
      </c>
      <c r="O19" s="9">
        <f t="shared" si="5"/>
        <v>9071794.258</v>
      </c>
    </row>
    <row r="20" ht="15.75" customHeight="1">
      <c r="A20" s="7">
        <f t="shared" ref="A20:B20" si="28">A19+1</f>
        <v>2044</v>
      </c>
      <c r="B20" s="7">
        <f t="shared" si="28"/>
        <v>83</v>
      </c>
      <c r="C20" s="7">
        <f t="shared" si="7"/>
        <v>1</v>
      </c>
      <c r="D20" s="9">
        <f t="shared" si="8"/>
        <v>85211.1238</v>
      </c>
      <c r="E20" s="9">
        <f t="shared" si="2"/>
        <v>85211.1238</v>
      </c>
      <c r="F20" s="9">
        <f>MIN(D20 - E20, MAX(0, Assumptions!$B$28 - E20))</f>
        <v>0</v>
      </c>
      <c r="G20" s="9">
        <f t="shared" si="3"/>
        <v>85211.1238</v>
      </c>
      <c r="H20" s="9">
        <f>MAX(0, (D20-G20)*(1+Assumptions!B$8))</f>
        <v>0</v>
      </c>
      <c r="J20" s="9"/>
      <c r="K20" s="9"/>
      <c r="L20" s="9">
        <f t="shared" si="4"/>
        <v>999999</v>
      </c>
      <c r="M20" s="9">
        <f t="shared" si="11"/>
        <v>9978973.684</v>
      </c>
      <c r="N20" s="9">
        <f>'Cash Flow'!G20</f>
        <v>760808.5122</v>
      </c>
      <c r="O20" s="9">
        <f t="shared" si="5"/>
        <v>9218165.171</v>
      </c>
    </row>
    <row r="21" ht="15.75" customHeight="1">
      <c r="A21" s="7">
        <f t="shared" ref="A21:B21" si="29">A20+1</f>
        <v>2045</v>
      </c>
      <c r="B21" s="7">
        <f t="shared" si="29"/>
        <v>84</v>
      </c>
      <c r="C21" s="7">
        <f t="shared" si="7"/>
        <v>0</v>
      </c>
      <c r="D21" s="9">
        <f t="shared" si="8"/>
        <v>0</v>
      </c>
      <c r="E21" s="9">
        <f t="shared" si="2"/>
        <v>0</v>
      </c>
      <c r="F21" s="9">
        <f>MIN(D21 - E21, MAX(0, Assumptions!$B$28 - E21))</f>
        <v>0</v>
      </c>
      <c r="G21" s="9">
        <f t="shared" si="3"/>
        <v>0</v>
      </c>
      <c r="H21" s="9">
        <f>MAX(0, (D21-G21)*(1+Assumptions!B$8))</f>
        <v>0</v>
      </c>
      <c r="J21" s="9"/>
      <c r="K21" s="9"/>
      <c r="L21" s="9">
        <f t="shared" si="4"/>
        <v>999999</v>
      </c>
      <c r="M21" s="9">
        <f t="shared" si="11"/>
        <v>10139981.69</v>
      </c>
      <c r="N21" s="9">
        <f>'Cash Flow'!G21</f>
        <v>875174.004</v>
      </c>
      <c r="O21" s="9">
        <f t="shared" si="5"/>
        <v>9264807.685</v>
      </c>
    </row>
    <row r="22" ht="15.75" customHeight="1">
      <c r="A22" s="7">
        <f t="shared" ref="A22:B22" si="30">A21+1</f>
        <v>2046</v>
      </c>
      <c r="B22" s="7">
        <f t="shared" si="30"/>
        <v>85</v>
      </c>
      <c r="C22" s="7">
        <f t="shared" si="7"/>
        <v>0</v>
      </c>
      <c r="D22" s="9">
        <f t="shared" si="8"/>
        <v>0</v>
      </c>
      <c r="E22" s="9">
        <f t="shared" si="2"/>
        <v>0</v>
      </c>
      <c r="F22" s="9">
        <f>MIN(D22 - E22, MAX(0, Assumptions!$B$28 - E22))</f>
        <v>0</v>
      </c>
      <c r="G22" s="9">
        <f t="shared" si="3"/>
        <v>0</v>
      </c>
      <c r="H22" s="9">
        <f>MAX(0, (D22-G22)*(1+Assumptions!B$8))</f>
        <v>0</v>
      </c>
      <c r="J22" s="9"/>
      <c r="K22" s="9"/>
      <c r="L22" s="9">
        <f t="shared" si="4"/>
        <v>999999</v>
      </c>
      <c r="M22" s="9">
        <f t="shared" si="11"/>
        <v>10191288.45</v>
      </c>
      <c r="N22" s="9">
        <f>'Cash Flow'!G22</f>
        <v>905214.9407</v>
      </c>
      <c r="O22" s="9">
        <f t="shared" si="5"/>
        <v>9286073.512</v>
      </c>
    </row>
    <row r="23" ht="15.75" customHeight="1">
      <c r="A23" s="7">
        <f t="shared" ref="A23:B23" si="31">A22+1</f>
        <v>2047</v>
      </c>
      <c r="B23" s="7">
        <f t="shared" si="31"/>
        <v>86</v>
      </c>
      <c r="C23" s="7">
        <f t="shared" si="7"/>
        <v>0</v>
      </c>
      <c r="D23" s="9">
        <f t="shared" si="8"/>
        <v>0</v>
      </c>
      <c r="E23" s="9">
        <f t="shared" si="2"/>
        <v>0</v>
      </c>
      <c r="F23" s="9">
        <f>MIN(D23 - E23, MAX(0, Assumptions!$B$28 - E23))</f>
        <v>0</v>
      </c>
      <c r="G23" s="9">
        <f t="shared" si="3"/>
        <v>0</v>
      </c>
      <c r="H23" s="9">
        <f>MAX(0, (D23-G23)*(1+Assumptions!B$8))</f>
        <v>0</v>
      </c>
      <c r="J23" s="9"/>
      <c r="K23" s="9"/>
      <c r="L23" s="9">
        <f t="shared" si="4"/>
        <v>999999</v>
      </c>
      <c r="M23" s="9">
        <f t="shared" si="11"/>
        <v>10214680.86</v>
      </c>
      <c r="N23" s="9">
        <f>'Cash Flow'!G23</f>
        <v>936169.1628</v>
      </c>
      <c r="O23" s="9">
        <f t="shared" si="5"/>
        <v>9278511.701</v>
      </c>
    </row>
    <row r="24" ht="15.75" customHeight="1">
      <c r="A24" s="7">
        <f t="shared" ref="A24:B24" si="32">A23+1</f>
        <v>2048</v>
      </c>
      <c r="B24" s="7">
        <f t="shared" si="32"/>
        <v>87</v>
      </c>
      <c r="C24" s="7">
        <f t="shared" si="7"/>
        <v>0</v>
      </c>
      <c r="D24" s="9">
        <f t="shared" si="8"/>
        <v>0</v>
      </c>
      <c r="E24" s="9">
        <f t="shared" si="2"/>
        <v>0</v>
      </c>
      <c r="F24" s="9">
        <f>MIN(D24 - E24, MAX(0, Assumptions!$B$28 - E24))</f>
        <v>0</v>
      </c>
      <c r="G24" s="9">
        <f t="shared" si="3"/>
        <v>0</v>
      </c>
      <c r="H24" s="9">
        <f>MAX(0, (D24-G24)*(1+Assumptions!B$8))</f>
        <v>0</v>
      </c>
      <c r="J24" s="9"/>
      <c r="K24" s="9"/>
      <c r="L24" s="9">
        <f t="shared" si="4"/>
        <v>999999</v>
      </c>
      <c r="M24" s="9">
        <f t="shared" si="11"/>
        <v>10206362.87</v>
      </c>
      <c r="N24" s="9">
        <f>'Cash Flow'!G24</f>
        <v>968064.1892</v>
      </c>
      <c r="O24" s="9">
        <f t="shared" si="5"/>
        <v>9238298.682</v>
      </c>
    </row>
    <row r="25" ht="15.75" customHeight="1">
      <c r="A25" s="7">
        <f t="shared" ref="A25:B25" si="33">A24+1</f>
        <v>2049</v>
      </c>
      <c r="B25" s="7">
        <f t="shared" si="33"/>
        <v>88</v>
      </c>
      <c r="C25" s="7">
        <f t="shared" si="7"/>
        <v>0</v>
      </c>
      <c r="D25" s="9">
        <f t="shared" si="8"/>
        <v>0</v>
      </c>
      <c r="E25" s="9">
        <f t="shared" si="2"/>
        <v>0</v>
      </c>
      <c r="F25" s="9">
        <f>MIN(D25 - E25, MAX(0, Assumptions!$B$28 - E25))</f>
        <v>0</v>
      </c>
      <c r="G25" s="9">
        <f t="shared" si="3"/>
        <v>0</v>
      </c>
      <c r="H25" s="9">
        <f>MAX(0, (D25-G25)*(1+Assumptions!B$8))</f>
        <v>0</v>
      </c>
      <c r="J25" s="9"/>
      <c r="K25" s="9"/>
      <c r="L25" s="9">
        <f t="shared" si="4"/>
        <v>999999</v>
      </c>
      <c r="M25" s="9">
        <f t="shared" si="11"/>
        <v>10162128.55</v>
      </c>
      <c r="N25" s="9">
        <f>'Cash Flow'!G25</f>
        <v>1000928.366</v>
      </c>
      <c r="O25" s="9">
        <f t="shared" si="5"/>
        <v>9161200.184</v>
      </c>
    </row>
    <row r="26" ht="15.75" customHeight="1">
      <c r="A26" s="7">
        <f t="shared" ref="A26:B26" si="34">A25+1</f>
        <v>2050</v>
      </c>
      <c r="B26" s="7">
        <f t="shared" si="34"/>
        <v>89</v>
      </c>
      <c r="C26" s="7">
        <f t="shared" si="7"/>
        <v>0</v>
      </c>
      <c r="D26" s="9">
        <f t="shared" si="8"/>
        <v>0</v>
      </c>
      <c r="E26" s="9">
        <f t="shared" si="2"/>
        <v>0</v>
      </c>
      <c r="F26" s="9">
        <f>MIN(D26 - E26, MAX(0, Assumptions!$B$28 - E26))</f>
        <v>0</v>
      </c>
      <c r="G26" s="9">
        <f t="shared" si="3"/>
        <v>0</v>
      </c>
      <c r="H26" s="9">
        <f>MAX(0, (D26-G26)*(1+Assumptions!B$8))</f>
        <v>0</v>
      </c>
      <c r="J26" s="9"/>
      <c r="K26" s="9"/>
      <c r="L26" s="9">
        <f t="shared" si="4"/>
        <v>999999</v>
      </c>
      <c r="M26" s="9">
        <f t="shared" si="11"/>
        <v>10077320.2</v>
      </c>
      <c r="N26" s="9">
        <f>'Cash Flow'!G26</f>
        <v>1034790.891</v>
      </c>
      <c r="O26" s="9">
        <f t="shared" si="5"/>
        <v>9042529.312</v>
      </c>
    </row>
    <row r="27" ht="15.75" customHeight="1">
      <c r="A27" s="7">
        <f t="shared" ref="A27:B27" si="35">A26+1</f>
        <v>2051</v>
      </c>
      <c r="B27" s="7">
        <f t="shared" si="35"/>
        <v>90</v>
      </c>
      <c r="C27" s="7">
        <f t="shared" si="7"/>
        <v>0</v>
      </c>
      <c r="D27" s="9">
        <f t="shared" si="8"/>
        <v>0</v>
      </c>
      <c r="E27" s="9">
        <f t="shared" si="2"/>
        <v>0</v>
      </c>
      <c r="F27" s="9">
        <f>MIN(D27 - E27, MAX(0, Assumptions!$B$28 - E27))</f>
        <v>0</v>
      </c>
      <c r="G27" s="9">
        <f t="shared" si="3"/>
        <v>0</v>
      </c>
      <c r="H27" s="9">
        <f>MAX(0, (D27-G27)*(1+Assumptions!B$8))</f>
        <v>0</v>
      </c>
      <c r="J27" s="9"/>
      <c r="K27" s="9"/>
      <c r="L27" s="9">
        <f t="shared" si="4"/>
        <v>999999</v>
      </c>
      <c r="M27" s="9">
        <f t="shared" si="11"/>
        <v>9946782.243</v>
      </c>
      <c r="N27" s="9">
        <f>'Cash Flow'!G27</f>
        <v>1069681.838</v>
      </c>
      <c r="O27" s="9">
        <f t="shared" si="5"/>
        <v>8877100.405</v>
      </c>
    </row>
    <row r="28" ht="15.75" customHeight="1">
      <c r="A28" s="7">
        <f t="shared" ref="A28:B28" si="36">A27+1</f>
        <v>2052</v>
      </c>
      <c r="B28" s="7">
        <f t="shared" si="36"/>
        <v>91</v>
      </c>
      <c r="C28" s="7">
        <f t="shared" si="7"/>
        <v>0</v>
      </c>
      <c r="D28" s="9">
        <f t="shared" si="8"/>
        <v>0</v>
      </c>
      <c r="E28" s="9">
        <f t="shared" si="2"/>
        <v>0</v>
      </c>
      <c r="F28" s="9">
        <f>MIN(D28 - E28, MAX(0, Assumptions!$B$28 - E28))</f>
        <v>0</v>
      </c>
      <c r="G28" s="9">
        <f t="shared" si="3"/>
        <v>0</v>
      </c>
      <c r="H28" s="9">
        <f>MAX(0, (D28-G28)*(1+Assumptions!B$8))</f>
        <v>0</v>
      </c>
      <c r="J28" s="9"/>
      <c r="K28" s="9"/>
      <c r="L28" s="9">
        <f t="shared" si="4"/>
        <v>999999</v>
      </c>
      <c r="M28" s="9">
        <f t="shared" si="11"/>
        <v>9764810.446</v>
      </c>
      <c r="N28" s="9">
        <f>'Cash Flow'!G28</f>
        <v>1105632.185</v>
      </c>
      <c r="O28" s="9">
        <f t="shared" si="5"/>
        <v>8659178.26</v>
      </c>
    </row>
    <row r="29" ht="15.75" customHeight="1">
      <c r="A29" s="7">
        <f t="shared" ref="A29:B29" si="37">A28+1</f>
        <v>2053</v>
      </c>
      <c r="B29" s="7">
        <f t="shared" si="37"/>
        <v>92</v>
      </c>
      <c r="C29" s="7">
        <f t="shared" si="7"/>
        <v>0</v>
      </c>
      <c r="D29" s="9">
        <f t="shared" si="8"/>
        <v>0</v>
      </c>
      <c r="E29" s="9">
        <f t="shared" si="2"/>
        <v>0</v>
      </c>
      <c r="F29" s="9">
        <f>MIN(D29 - E29, MAX(0, Assumptions!$B$28 - E29))</f>
        <v>0</v>
      </c>
      <c r="G29" s="9">
        <f t="shared" si="3"/>
        <v>0</v>
      </c>
      <c r="H29" s="9">
        <f>MAX(0, (D29-G29)*(1+Assumptions!B$8))</f>
        <v>0</v>
      </c>
      <c r="J29" s="9"/>
      <c r="K29" s="9"/>
      <c r="L29" s="9">
        <f t="shared" si="4"/>
        <v>999999</v>
      </c>
      <c r="M29" s="9">
        <f t="shared" si="11"/>
        <v>9525096.086</v>
      </c>
      <c r="N29" s="9">
        <f>'Cash Flow'!G29</f>
        <v>1142673.842</v>
      </c>
      <c r="O29" s="9">
        <f t="shared" si="5"/>
        <v>8382422.244</v>
      </c>
    </row>
    <row r="30" ht="15.75" customHeight="1">
      <c r="A30" s="7">
        <f t="shared" ref="A30:B30" si="38">A29+1</f>
        <v>2054</v>
      </c>
      <c r="B30" s="7">
        <f t="shared" si="38"/>
        <v>93</v>
      </c>
      <c r="C30" s="7">
        <f t="shared" si="7"/>
        <v>0</v>
      </c>
      <c r="D30" s="9">
        <f t="shared" si="8"/>
        <v>0</v>
      </c>
      <c r="E30" s="9">
        <f t="shared" si="2"/>
        <v>0</v>
      </c>
      <c r="F30" s="9">
        <f>MIN(D30 - E30, MAX(0, Assumptions!$B$28 - E30))</f>
        <v>0</v>
      </c>
      <c r="G30" s="9">
        <f t="shared" si="3"/>
        <v>0</v>
      </c>
      <c r="H30" s="9">
        <f>MAX(0, (D30-G30)*(1+Assumptions!B$8))</f>
        <v>0</v>
      </c>
      <c r="J30" s="9"/>
      <c r="K30" s="9"/>
      <c r="L30" s="9">
        <f t="shared" si="4"/>
        <v>999999</v>
      </c>
      <c r="M30" s="9">
        <f t="shared" si="11"/>
        <v>9220664.469</v>
      </c>
      <c r="N30" s="9">
        <f>'Cash Flow'!G30</f>
        <v>1180839.676</v>
      </c>
      <c r="O30" s="9">
        <f t="shared" si="5"/>
        <v>8039824.793</v>
      </c>
    </row>
    <row r="31" ht="15.75" customHeight="1">
      <c r="A31" s="7">
        <f t="shared" ref="A31:B31" si="39">A30+1</f>
        <v>2055</v>
      </c>
      <c r="B31" s="7">
        <f t="shared" si="39"/>
        <v>94</v>
      </c>
      <c r="C31" s="7">
        <f t="shared" si="7"/>
        <v>0</v>
      </c>
      <c r="D31" s="9">
        <f t="shared" si="8"/>
        <v>0</v>
      </c>
      <c r="E31" s="9">
        <f t="shared" si="2"/>
        <v>0</v>
      </c>
      <c r="F31" s="9">
        <f>MIN(D31 - E31, MAX(0, Assumptions!$B$28 - E31))</f>
        <v>0</v>
      </c>
      <c r="G31" s="9">
        <f t="shared" si="3"/>
        <v>0</v>
      </c>
      <c r="H31" s="9">
        <f>MAX(0, (D31-G31)*(1+Assumptions!B$8))</f>
        <v>0</v>
      </c>
      <c r="J31" s="9"/>
      <c r="K31" s="9"/>
      <c r="L31" s="9">
        <f t="shared" si="4"/>
        <v>999999</v>
      </c>
      <c r="M31" s="9">
        <f t="shared" si="11"/>
        <v>8843807.272</v>
      </c>
      <c r="N31" s="9">
        <f>'Cash Flow'!G31</f>
        <v>1220163.541</v>
      </c>
      <c r="O31" s="9">
        <f t="shared" si="5"/>
        <v>7623643.731</v>
      </c>
    </row>
    <row r="32" ht="15.75" customHeight="1">
      <c r="D32" s="9"/>
      <c r="E32" s="9"/>
      <c r="F32" s="9"/>
      <c r="G32" s="9"/>
      <c r="H32" s="9"/>
      <c r="J32" s="9"/>
      <c r="K32" s="9"/>
      <c r="L32" s="9"/>
      <c r="M32" s="9"/>
      <c r="N32" s="9"/>
      <c r="O32" s="9"/>
    </row>
    <row r="33" ht="15.75" customHeight="1">
      <c r="D33" s="9"/>
      <c r="E33" s="9"/>
      <c r="F33" s="9"/>
      <c r="G33" s="9"/>
      <c r="H33" s="9"/>
      <c r="J33" s="9"/>
      <c r="K33" s="9"/>
      <c r="L33" s="9"/>
      <c r="M33" s="9"/>
      <c r="N33" s="9"/>
      <c r="O33" s="9"/>
    </row>
    <row r="34" ht="15.75" customHeight="1">
      <c r="D34" s="9"/>
      <c r="E34" s="9"/>
      <c r="F34" s="9"/>
      <c r="G34" s="9"/>
      <c r="H34" s="9"/>
      <c r="J34" s="9"/>
      <c r="K34" s="9"/>
      <c r="L34" s="9"/>
      <c r="M34" s="9"/>
      <c r="N34" s="9"/>
      <c r="O34" s="9"/>
    </row>
    <row r="35" ht="15.75" customHeight="1">
      <c r="D35" s="9"/>
      <c r="E35" s="9"/>
      <c r="F35" s="9"/>
      <c r="G35" s="9"/>
      <c r="H35" s="9"/>
      <c r="J35" s="9"/>
      <c r="K35" s="9"/>
      <c r="L35" s="9"/>
      <c r="M35" s="9"/>
      <c r="N35" s="9"/>
      <c r="O35" s="9"/>
    </row>
    <row r="36" ht="15.75" customHeight="1">
      <c r="D36" s="9"/>
      <c r="E36" s="9"/>
      <c r="F36" s="9"/>
      <c r="G36" s="9"/>
      <c r="H36" s="9"/>
      <c r="J36" s="9"/>
      <c r="K36" s="9"/>
      <c r="L36" s="9"/>
      <c r="M36" s="9"/>
      <c r="N36" s="9"/>
      <c r="O36" s="9"/>
    </row>
    <row r="37" ht="15.75" customHeight="1">
      <c r="D37" s="9"/>
      <c r="E37" s="9"/>
      <c r="F37" s="9"/>
      <c r="G37" s="9"/>
      <c r="H37" s="9"/>
      <c r="J37" s="9"/>
      <c r="K37" s="9"/>
      <c r="L37" s="9"/>
      <c r="M37" s="9"/>
      <c r="N37" s="9"/>
      <c r="O37" s="9"/>
    </row>
    <row r="38" ht="15.75" customHeight="1">
      <c r="D38" s="9"/>
      <c r="E38" s="9"/>
      <c r="F38" s="9"/>
      <c r="G38" s="9"/>
      <c r="H38" s="9"/>
      <c r="J38" s="9"/>
      <c r="K38" s="9"/>
      <c r="L38" s="9"/>
      <c r="M38" s="9"/>
      <c r="N38" s="9"/>
      <c r="O38" s="9"/>
    </row>
    <row r="39" ht="15.75" customHeight="1">
      <c r="D39" s="9"/>
      <c r="E39" s="9"/>
      <c r="F39" s="9"/>
      <c r="G39" s="9"/>
      <c r="H39" s="9"/>
      <c r="J39" s="9"/>
      <c r="K39" s="9"/>
      <c r="L39" s="9"/>
      <c r="M39" s="9"/>
      <c r="N39" s="9"/>
      <c r="O39" s="9"/>
    </row>
    <row r="40" ht="15.75" customHeight="1">
      <c r="D40" s="9"/>
      <c r="E40" s="9"/>
      <c r="F40" s="9"/>
      <c r="G40" s="9"/>
      <c r="H40" s="9"/>
      <c r="J40" s="9"/>
      <c r="K40" s="9"/>
      <c r="L40" s="9"/>
      <c r="M40" s="9"/>
      <c r="N40" s="9"/>
      <c r="O40" s="9"/>
    </row>
    <row r="41" ht="15.75" customHeight="1">
      <c r="D41" s="9"/>
      <c r="E41" s="9"/>
      <c r="F41" s="9"/>
      <c r="G41" s="9"/>
      <c r="H41" s="9"/>
      <c r="J41" s="9"/>
      <c r="K41" s="9"/>
      <c r="L41" s="9"/>
      <c r="M41" s="9"/>
      <c r="N41" s="9"/>
      <c r="O41" s="9"/>
    </row>
    <row r="42" ht="15.75" customHeight="1">
      <c r="D42" s="9"/>
      <c r="E42" s="9"/>
      <c r="F42" s="9"/>
      <c r="G42" s="9"/>
      <c r="H42" s="9"/>
      <c r="J42" s="9"/>
      <c r="K42" s="9"/>
      <c r="L42" s="9"/>
      <c r="M42" s="9"/>
      <c r="N42" s="9"/>
      <c r="O42" s="9"/>
    </row>
    <row r="43" ht="15.75" customHeight="1">
      <c r="D43" s="9"/>
      <c r="E43" s="9"/>
      <c r="F43" s="9"/>
      <c r="G43" s="9"/>
      <c r="H43" s="9"/>
      <c r="J43" s="9"/>
      <c r="K43" s="9"/>
      <c r="L43" s="9"/>
      <c r="M43" s="9"/>
      <c r="N43" s="9"/>
      <c r="O43" s="9"/>
    </row>
    <row r="44" ht="15.75" customHeight="1">
      <c r="D44" s="9"/>
      <c r="E44" s="9"/>
      <c r="F44" s="9"/>
      <c r="G44" s="9"/>
      <c r="H44" s="9"/>
      <c r="J44" s="9"/>
      <c r="K44" s="9"/>
      <c r="L44" s="9"/>
      <c r="M44" s="9"/>
      <c r="N44" s="9"/>
      <c r="O44" s="9"/>
    </row>
    <row r="45" ht="15.75" customHeight="1">
      <c r="D45" s="9"/>
      <c r="E45" s="9"/>
      <c r="F45" s="9"/>
      <c r="G45" s="9"/>
      <c r="H45" s="9"/>
      <c r="J45" s="9"/>
      <c r="K45" s="9"/>
      <c r="L45" s="9"/>
      <c r="M45" s="9"/>
      <c r="N45" s="9"/>
      <c r="O45" s="9"/>
    </row>
    <row r="46" ht="15.75" customHeight="1">
      <c r="D46" s="9"/>
      <c r="E46" s="9"/>
      <c r="F46" s="9"/>
      <c r="G46" s="9"/>
      <c r="H46" s="9"/>
      <c r="J46" s="9"/>
      <c r="K46" s="9"/>
      <c r="L46" s="9"/>
      <c r="M46" s="9"/>
      <c r="N46" s="9"/>
      <c r="O46" s="9"/>
    </row>
    <row r="47" ht="15.75" customHeight="1">
      <c r="D47" s="9"/>
      <c r="E47" s="9"/>
      <c r="F47" s="9"/>
      <c r="G47" s="9"/>
      <c r="H47" s="9"/>
      <c r="J47" s="9"/>
      <c r="K47" s="9"/>
      <c r="L47" s="9"/>
      <c r="M47" s="9"/>
      <c r="N47" s="9"/>
      <c r="O47" s="9"/>
    </row>
    <row r="48" ht="15.75" customHeight="1">
      <c r="D48" s="9"/>
      <c r="E48" s="9"/>
      <c r="F48" s="9"/>
      <c r="G48" s="9"/>
      <c r="H48" s="9"/>
      <c r="J48" s="9"/>
      <c r="K48" s="9"/>
      <c r="L48" s="9"/>
      <c r="M48" s="9"/>
      <c r="N48" s="9"/>
      <c r="O48" s="9"/>
    </row>
    <row r="49" ht="15.75" customHeight="1">
      <c r="D49" s="9"/>
      <c r="E49" s="9"/>
      <c r="F49" s="9"/>
      <c r="G49" s="9"/>
      <c r="H49" s="9"/>
      <c r="J49" s="9"/>
      <c r="K49" s="9"/>
      <c r="L49" s="9"/>
      <c r="M49" s="9"/>
      <c r="N49" s="9"/>
      <c r="O49" s="9"/>
    </row>
    <row r="50" ht="15.75" customHeight="1">
      <c r="D50" s="9"/>
      <c r="E50" s="9"/>
      <c r="F50" s="9"/>
      <c r="G50" s="9"/>
      <c r="H50" s="9"/>
      <c r="J50" s="9"/>
      <c r="K50" s="9"/>
      <c r="L50" s="9"/>
      <c r="M50" s="9"/>
      <c r="N50" s="9"/>
      <c r="O50" s="9"/>
    </row>
    <row r="51" ht="15.75" customHeight="1">
      <c r="D51" s="9"/>
      <c r="E51" s="9"/>
      <c r="F51" s="9"/>
      <c r="G51" s="9"/>
      <c r="H51" s="9"/>
      <c r="J51" s="9"/>
      <c r="K51" s="9"/>
      <c r="L51" s="9"/>
      <c r="M51" s="9"/>
      <c r="N51" s="9"/>
      <c r="O51" s="9"/>
    </row>
    <row r="52" ht="15.75" customHeight="1">
      <c r="D52" s="9"/>
      <c r="E52" s="9"/>
      <c r="F52" s="9"/>
      <c r="G52" s="9"/>
      <c r="H52" s="9"/>
      <c r="J52" s="9"/>
      <c r="K52" s="9"/>
      <c r="L52" s="9"/>
      <c r="M52" s="9"/>
      <c r="N52" s="9"/>
      <c r="O52" s="9"/>
    </row>
    <row r="53" ht="15.75" customHeight="1">
      <c r="D53" s="9"/>
      <c r="E53" s="9"/>
      <c r="F53" s="9"/>
      <c r="G53" s="9"/>
      <c r="H53" s="9"/>
      <c r="J53" s="9"/>
      <c r="K53" s="9"/>
      <c r="L53" s="9"/>
      <c r="M53" s="9"/>
      <c r="N53" s="9"/>
      <c r="O53" s="9"/>
    </row>
    <row r="54" ht="15.75" customHeight="1">
      <c r="D54" s="9"/>
      <c r="E54" s="9"/>
      <c r="F54" s="9"/>
      <c r="G54" s="9"/>
      <c r="H54" s="9"/>
      <c r="J54" s="9"/>
      <c r="K54" s="9"/>
      <c r="L54" s="9"/>
      <c r="M54" s="9"/>
      <c r="N54" s="9"/>
      <c r="O54" s="9"/>
    </row>
    <row r="55" ht="15.75" customHeight="1">
      <c r="D55" s="9"/>
      <c r="E55" s="9"/>
      <c r="F55" s="9"/>
      <c r="G55" s="9"/>
      <c r="H55" s="9"/>
      <c r="J55" s="9"/>
      <c r="K55" s="9"/>
      <c r="L55" s="9"/>
      <c r="M55" s="9"/>
      <c r="N55" s="9"/>
      <c r="O55" s="9"/>
    </row>
    <row r="56" ht="15.75" customHeight="1">
      <c r="D56" s="9"/>
      <c r="E56" s="9"/>
      <c r="F56" s="9"/>
      <c r="G56" s="9"/>
      <c r="H56" s="9"/>
      <c r="J56" s="9"/>
      <c r="K56" s="9"/>
      <c r="L56" s="9"/>
      <c r="M56" s="9"/>
      <c r="N56" s="9"/>
      <c r="O56" s="9"/>
    </row>
    <row r="57" ht="15.75" customHeight="1">
      <c r="D57" s="9"/>
      <c r="E57" s="9"/>
      <c r="F57" s="9"/>
      <c r="G57" s="9"/>
      <c r="H57" s="9"/>
      <c r="J57" s="9"/>
      <c r="K57" s="9"/>
      <c r="L57" s="9"/>
      <c r="M57" s="9"/>
      <c r="N57" s="9"/>
      <c r="O57" s="9"/>
    </row>
    <row r="58" ht="15.75" customHeight="1">
      <c r="D58" s="9"/>
      <c r="E58" s="9"/>
      <c r="F58" s="9"/>
      <c r="G58" s="9"/>
      <c r="H58" s="9"/>
      <c r="J58" s="9"/>
      <c r="K58" s="9"/>
      <c r="L58" s="9"/>
      <c r="M58" s="9"/>
      <c r="N58" s="9"/>
      <c r="O58" s="9"/>
    </row>
    <row r="59" ht="15.75" customHeight="1">
      <c r="D59" s="9"/>
      <c r="E59" s="9"/>
      <c r="F59" s="9"/>
      <c r="G59" s="9"/>
      <c r="H59" s="9"/>
      <c r="J59" s="9"/>
      <c r="K59" s="9"/>
      <c r="L59" s="9"/>
      <c r="M59" s="9"/>
      <c r="N59" s="9"/>
      <c r="O59" s="9"/>
    </row>
    <row r="60" ht="15.75" customHeight="1">
      <c r="D60" s="9"/>
      <c r="E60" s="9"/>
      <c r="F60" s="9"/>
      <c r="G60" s="9"/>
      <c r="H60" s="9"/>
      <c r="J60" s="9"/>
      <c r="K60" s="9"/>
      <c r="L60" s="9"/>
      <c r="M60" s="9"/>
      <c r="N60" s="9"/>
      <c r="O60" s="9"/>
    </row>
    <row r="61" ht="15.75" customHeight="1">
      <c r="D61" s="9"/>
      <c r="E61" s="9"/>
      <c r="F61" s="9"/>
      <c r="G61" s="9"/>
      <c r="H61" s="9"/>
      <c r="J61" s="9"/>
      <c r="K61" s="9"/>
      <c r="L61" s="9"/>
      <c r="M61" s="9"/>
      <c r="N61" s="9"/>
      <c r="O61" s="9"/>
    </row>
    <row r="62" ht="15.75" customHeight="1">
      <c r="D62" s="9"/>
      <c r="E62" s="9"/>
      <c r="F62" s="9"/>
      <c r="G62" s="9"/>
      <c r="H62" s="9"/>
      <c r="J62" s="9"/>
      <c r="K62" s="9"/>
      <c r="L62" s="9"/>
      <c r="M62" s="9"/>
      <c r="N62" s="9"/>
      <c r="O62" s="9"/>
    </row>
    <row r="63" ht="15.75" customHeight="1">
      <c r="D63" s="9"/>
      <c r="E63" s="9"/>
      <c r="F63" s="9"/>
      <c r="G63" s="9"/>
      <c r="H63" s="9"/>
      <c r="J63" s="9"/>
      <c r="K63" s="9"/>
      <c r="L63" s="9"/>
      <c r="M63" s="9"/>
      <c r="N63" s="9"/>
      <c r="O63" s="9"/>
    </row>
    <row r="64" ht="15.75" customHeight="1">
      <c r="D64" s="9"/>
      <c r="E64" s="9"/>
      <c r="F64" s="9"/>
      <c r="G64" s="9"/>
      <c r="H64" s="9"/>
      <c r="J64" s="9"/>
      <c r="K64" s="9"/>
      <c r="L64" s="9"/>
      <c r="M64" s="9"/>
      <c r="N64" s="9"/>
      <c r="O64" s="9"/>
    </row>
    <row r="65" ht="15.75" customHeight="1">
      <c r="D65" s="9"/>
      <c r="E65" s="9"/>
      <c r="F65" s="9"/>
      <c r="G65" s="9"/>
      <c r="H65" s="9"/>
      <c r="J65" s="9"/>
      <c r="K65" s="9"/>
      <c r="L65" s="9"/>
      <c r="M65" s="9"/>
      <c r="N65" s="9"/>
      <c r="O65" s="9"/>
    </row>
    <row r="66" ht="15.75" customHeight="1">
      <c r="D66" s="9"/>
      <c r="E66" s="9"/>
      <c r="F66" s="9"/>
      <c r="G66" s="9"/>
      <c r="H66" s="9"/>
      <c r="J66" s="9"/>
      <c r="K66" s="9"/>
      <c r="L66" s="9"/>
      <c r="M66" s="9"/>
      <c r="N66" s="9"/>
      <c r="O66" s="9"/>
    </row>
    <row r="67" ht="15.75" customHeight="1">
      <c r="D67" s="9"/>
      <c r="E67" s="9"/>
      <c r="F67" s="9"/>
      <c r="G67" s="9"/>
      <c r="H67" s="9"/>
      <c r="J67" s="9"/>
      <c r="K67" s="9"/>
      <c r="L67" s="9"/>
      <c r="M67" s="9"/>
      <c r="N67" s="9"/>
      <c r="O67" s="9"/>
    </row>
    <row r="68" ht="15.75" customHeight="1">
      <c r="D68" s="9"/>
      <c r="E68" s="9"/>
      <c r="F68" s="9"/>
      <c r="G68" s="9"/>
      <c r="H68" s="9"/>
      <c r="J68" s="9"/>
      <c r="K68" s="9"/>
      <c r="L68" s="9"/>
      <c r="M68" s="9"/>
      <c r="N68" s="9"/>
      <c r="O68" s="9"/>
    </row>
    <row r="69" ht="15.75" customHeight="1">
      <c r="D69" s="9"/>
      <c r="E69" s="9"/>
      <c r="F69" s="9"/>
      <c r="G69" s="9"/>
      <c r="H69" s="9"/>
      <c r="J69" s="9"/>
      <c r="K69" s="9"/>
      <c r="L69" s="9"/>
      <c r="M69" s="9"/>
      <c r="N69" s="9"/>
      <c r="O69" s="9"/>
    </row>
    <row r="70" ht="15.75" customHeight="1">
      <c r="D70" s="9"/>
      <c r="E70" s="9"/>
      <c r="F70" s="9"/>
      <c r="G70" s="9"/>
      <c r="H70" s="9"/>
      <c r="J70" s="9"/>
      <c r="K70" s="9"/>
      <c r="L70" s="9"/>
      <c r="M70" s="9"/>
      <c r="N70" s="9"/>
      <c r="O70" s="9"/>
    </row>
    <row r="71" ht="15.75" customHeight="1">
      <c r="D71" s="9"/>
      <c r="E71" s="9"/>
      <c r="F71" s="9"/>
      <c r="G71" s="9"/>
      <c r="H71" s="9"/>
      <c r="J71" s="9"/>
      <c r="K71" s="9"/>
      <c r="L71" s="9"/>
      <c r="M71" s="9"/>
      <c r="N71" s="9"/>
      <c r="O71" s="9"/>
    </row>
    <row r="72" ht="15.75" customHeight="1">
      <c r="D72" s="9"/>
      <c r="E72" s="9"/>
      <c r="F72" s="9"/>
      <c r="G72" s="9"/>
      <c r="H72" s="9"/>
      <c r="J72" s="9"/>
      <c r="K72" s="9"/>
      <c r="L72" s="9"/>
      <c r="M72" s="9"/>
      <c r="N72" s="9"/>
      <c r="O72" s="9"/>
    </row>
    <row r="73" ht="15.75" customHeight="1">
      <c r="D73" s="9"/>
      <c r="E73" s="9"/>
      <c r="F73" s="9"/>
      <c r="G73" s="9"/>
      <c r="H73" s="9"/>
      <c r="J73" s="9"/>
      <c r="K73" s="9"/>
      <c r="L73" s="9"/>
      <c r="M73" s="9"/>
      <c r="N73" s="9"/>
      <c r="O73" s="9"/>
    </row>
    <row r="74" ht="15.75" customHeight="1">
      <c r="D74" s="9"/>
      <c r="E74" s="9"/>
      <c r="F74" s="9"/>
      <c r="G74" s="9"/>
      <c r="H74" s="9"/>
      <c r="J74" s="9"/>
      <c r="K74" s="9"/>
      <c r="L74" s="9"/>
      <c r="M74" s="9"/>
      <c r="N74" s="9"/>
      <c r="O74" s="9"/>
    </row>
    <row r="75" ht="15.75" customHeight="1">
      <c r="D75" s="9"/>
      <c r="E75" s="9"/>
      <c r="F75" s="9"/>
      <c r="G75" s="9"/>
      <c r="H75" s="9"/>
      <c r="J75" s="9"/>
      <c r="K75" s="9"/>
      <c r="L75" s="9"/>
      <c r="M75" s="9"/>
      <c r="N75" s="9"/>
      <c r="O75" s="9"/>
    </row>
    <row r="76" ht="15.75" customHeight="1">
      <c r="D76" s="9"/>
      <c r="E76" s="9"/>
      <c r="F76" s="9"/>
      <c r="G76" s="9"/>
      <c r="H76" s="9"/>
      <c r="J76" s="9"/>
      <c r="K76" s="9"/>
      <c r="L76" s="9"/>
      <c r="M76" s="9"/>
      <c r="N76" s="9"/>
      <c r="O76" s="9"/>
    </row>
    <row r="77" ht="15.75" customHeight="1">
      <c r="D77" s="9"/>
      <c r="E77" s="9"/>
      <c r="F77" s="9"/>
      <c r="G77" s="9"/>
      <c r="H77" s="9"/>
      <c r="J77" s="9"/>
      <c r="K77" s="9"/>
      <c r="L77" s="9"/>
      <c r="M77" s="9"/>
      <c r="N77" s="9"/>
      <c r="O77" s="9"/>
    </row>
    <row r="78" ht="15.75" customHeight="1">
      <c r="D78" s="9"/>
      <c r="E78" s="9"/>
      <c r="F78" s="9"/>
      <c r="G78" s="9"/>
      <c r="H78" s="9"/>
      <c r="J78" s="9"/>
      <c r="K78" s="9"/>
      <c r="L78" s="9"/>
      <c r="M78" s="9"/>
      <c r="N78" s="9"/>
      <c r="O78" s="9"/>
    </row>
    <row r="79" ht="15.75" customHeight="1">
      <c r="D79" s="9"/>
      <c r="E79" s="9"/>
      <c r="F79" s="9"/>
      <c r="G79" s="9"/>
      <c r="H79" s="9"/>
      <c r="J79" s="9"/>
      <c r="K79" s="9"/>
      <c r="L79" s="9"/>
      <c r="M79" s="9"/>
      <c r="N79" s="9"/>
      <c r="O79" s="9"/>
    </row>
    <row r="80" ht="15.75" customHeight="1">
      <c r="D80" s="9"/>
      <c r="E80" s="9"/>
      <c r="F80" s="9"/>
      <c r="G80" s="9"/>
      <c r="H80" s="9"/>
      <c r="J80" s="9"/>
      <c r="K80" s="9"/>
      <c r="L80" s="9"/>
      <c r="M80" s="9"/>
      <c r="N80" s="9"/>
      <c r="O80" s="9"/>
    </row>
    <row r="81" ht="15.75" customHeight="1">
      <c r="D81" s="9"/>
      <c r="E81" s="9"/>
      <c r="F81" s="9"/>
      <c r="G81" s="9"/>
      <c r="H81" s="9"/>
      <c r="J81" s="9"/>
      <c r="K81" s="9"/>
      <c r="L81" s="9"/>
      <c r="M81" s="9"/>
      <c r="N81" s="9"/>
      <c r="O81" s="9"/>
    </row>
    <row r="82" ht="15.75" customHeight="1">
      <c r="D82" s="9"/>
      <c r="E82" s="9"/>
      <c r="F82" s="9"/>
      <c r="G82" s="9"/>
      <c r="H82" s="9"/>
      <c r="J82" s="9"/>
      <c r="K82" s="9"/>
      <c r="L82" s="9"/>
      <c r="M82" s="9"/>
      <c r="N82" s="9"/>
      <c r="O82" s="9"/>
    </row>
    <row r="83" ht="15.75" customHeight="1">
      <c r="D83" s="9"/>
      <c r="E83" s="9"/>
      <c r="F83" s="9"/>
      <c r="G83" s="9"/>
      <c r="H83" s="9"/>
      <c r="J83" s="9"/>
      <c r="K83" s="9"/>
      <c r="L83" s="9"/>
      <c r="M83" s="9"/>
      <c r="N83" s="9"/>
      <c r="O83" s="9"/>
    </row>
    <row r="84" ht="15.75" customHeight="1">
      <c r="D84" s="9"/>
      <c r="E84" s="9"/>
      <c r="F84" s="9"/>
      <c r="G84" s="9"/>
      <c r="H84" s="9"/>
      <c r="J84" s="9"/>
      <c r="K84" s="9"/>
      <c r="L84" s="9"/>
      <c r="M84" s="9"/>
      <c r="N84" s="9"/>
      <c r="O84" s="9"/>
    </row>
    <row r="85" ht="15.75" customHeight="1">
      <c r="D85" s="9"/>
      <c r="E85" s="9"/>
      <c r="F85" s="9"/>
      <c r="G85" s="9"/>
      <c r="H85" s="9"/>
      <c r="J85" s="9"/>
      <c r="K85" s="9"/>
      <c r="L85" s="9"/>
      <c r="M85" s="9"/>
      <c r="N85" s="9"/>
      <c r="O85" s="9"/>
    </row>
    <row r="86" ht="15.75" customHeight="1">
      <c r="D86" s="9"/>
      <c r="E86" s="9"/>
      <c r="F86" s="9"/>
      <c r="G86" s="9"/>
      <c r="H86" s="9"/>
      <c r="J86" s="9"/>
      <c r="K86" s="9"/>
      <c r="L86" s="9"/>
      <c r="M86" s="9"/>
      <c r="N86" s="9"/>
      <c r="O86" s="9"/>
    </row>
    <row r="87" ht="15.75" customHeight="1">
      <c r="D87" s="9"/>
      <c r="E87" s="9"/>
      <c r="F87" s="9"/>
      <c r="G87" s="9"/>
      <c r="H87" s="9"/>
      <c r="J87" s="9"/>
      <c r="K87" s="9"/>
      <c r="L87" s="9"/>
      <c r="M87" s="9"/>
      <c r="N87" s="9"/>
      <c r="O87" s="9"/>
    </row>
    <row r="88" ht="15.75" customHeight="1">
      <c r="D88" s="9"/>
      <c r="E88" s="9"/>
      <c r="F88" s="9"/>
      <c r="G88" s="9"/>
      <c r="H88" s="9"/>
      <c r="J88" s="9"/>
      <c r="K88" s="9"/>
      <c r="L88" s="9"/>
      <c r="M88" s="9"/>
      <c r="N88" s="9"/>
      <c r="O88" s="9"/>
    </row>
    <row r="89" ht="15.75" customHeight="1">
      <c r="D89" s="9"/>
      <c r="E89" s="9"/>
      <c r="F89" s="9"/>
      <c r="G89" s="9"/>
      <c r="H89" s="9"/>
      <c r="J89" s="9"/>
      <c r="K89" s="9"/>
      <c r="L89" s="9"/>
      <c r="M89" s="9"/>
      <c r="N89" s="9"/>
      <c r="O89" s="9"/>
    </row>
    <row r="90" ht="15.75" customHeight="1">
      <c r="D90" s="9"/>
      <c r="E90" s="9"/>
      <c r="F90" s="9"/>
      <c r="G90" s="9"/>
      <c r="H90" s="9"/>
      <c r="J90" s="9"/>
      <c r="K90" s="9"/>
      <c r="L90" s="9"/>
      <c r="M90" s="9"/>
      <c r="N90" s="9"/>
      <c r="O90" s="9"/>
    </row>
    <row r="91" ht="15.75" customHeight="1">
      <c r="D91" s="9"/>
      <c r="E91" s="9"/>
      <c r="F91" s="9"/>
      <c r="G91" s="9"/>
      <c r="H91" s="9"/>
      <c r="J91" s="9"/>
      <c r="K91" s="9"/>
      <c r="L91" s="9"/>
      <c r="M91" s="9"/>
      <c r="N91" s="9"/>
      <c r="O91" s="9"/>
    </row>
    <row r="92" ht="15.75" customHeight="1">
      <c r="D92" s="9"/>
      <c r="E92" s="9"/>
      <c r="F92" s="9"/>
      <c r="G92" s="9"/>
      <c r="H92" s="9"/>
      <c r="J92" s="9"/>
      <c r="K92" s="9"/>
      <c r="L92" s="9"/>
      <c r="M92" s="9"/>
      <c r="N92" s="9"/>
      <c r="O92" s="9"/>
    </row>
    <row r="93" ht="15.75" customHeight="1">
      <c r="D93" s="9"/>
      <c r="E93" s="9"/>
      <c r="F93" s="9"/>
      <c r="G93" s="9"/>
      <c r="H93" s="9"/>
      <c r="J93" s="9"/>
      <c r="K93" s="9"/>
      <c r="L93" s="9"/>
      <c r="M93" s="9"/>
      <c r="N93" s="9"/>
      <c r="O93" s="9"/>
    </row>
    <row r="94" ht="15.75" customHeight="1">
      <c r="D94" s="9"/>
      <c r="E94" s="9"/>
      <c r="F94" s="9"/>
      <c r="G94" s="9"/>
      <c r="H94" s="9"/>
      <c r="J94" s="9"/>
      <c r="K94" s="9"/>
      <c r="L94" s="9"/>
      <c r="M94" s="9"/>
      <c r="N94" s="9"/>
      <c r="O94" s="9"/>
    </row>
    <row r="95" ht="15.75" customHeight="1">
      <c r="D95" s="9"/>
      <c r="E95" s="9"/>
      <c r="F95" s="9"/>
      <c r="G95" s="9"/>
      <c r="H95" s="9"/>
      <c r="J95" s="9"/>
      <c r="K95" s="9"/>
      <c r="L95" s="9"/>
      <c r="M95" s="9"/>
      <c r="N95" s="9"/>
      <c r="O95" s="9"/>
    </row>
    <row r="96" ht="15.75" customHeight="1">
      <c r="D96" s="9"/>
      <c r="E96" s="9"/>
      <c r="F96" s="9"/>
      <c r="G96" s="9"/>
      <c r="H96" s="9"/>
      <c r="J96" s="9"/>
      <c r="K96" s="9"/>
      <c r="L96" s="9"/>
      <c r="M96" s="9"/>
      <c r="N96" s="9"/>
      <c r="O96" s="9"/>
    </row>
    <row r="97" ht="15.75" customHeight="1">
      <c r="D97" s="9"/>
      <c r="E97" s="9"/>
      <c r="F97" s="9"/>
      <c r="G97" s="9"/>
      <c r="H97" s="9"/>
      <c r="J97" s="9"/>
      <c r="K97" s="9"/>
      <c r="L97" s="9"/>
      <c r="M97" s="9"/>
      <c r="N97" s="9"/>
      <c r="O97" s="9"/>
    </row>
    <row r="98" ht="15.75" customHeight="1">
      <c r="D98" s="9"/>
      <c r="E98" s="9"/>
      <c r="F98" s="9"/>
      <c r="G98" s="9"/>
      <c r="H98" s="9"/>
      <c r="J98" s="9"/>
      <c r="K98" s="9"/>
      <c r="L98" s="9"/>
      <c r="M98" s="9"/>
      <c r="N98" s="9"/>
      <c r="O98" s="9"/>
    </row>
    <row r="99" ht="15.75" customHeight="1">
      <c r="D99" s="9"/>
      <c r="E99" s="9"/>
      <c r="F99" s="9"/>
      <c r="G99" s="9"/>
      <c r="H99" s="9"/>
      <c r="J99" s="9"/>
      <c r="K99" s="9"/>
      <c r="L99" s="9"/>
      <c r="M99" s="9"/>
      <c r="N99" s="9"/>
      <c r="O99" s="9"/>
    </row>
    <row r="100" ht="15.75" customHeight="1">
      <c r="D100" s="9"/>
      <c r="E100" s="9"/>
      <c r="F100" s="9"/>
      <c r="G100" s="9"/>
      <c r="H100" s="9"/>
      <c r="J100" s="9"/>
      <c r="K100" s="9"/>
      <c r="L100" s="9"/>
      <c r="M100" s="9"/>
      <c r="N100" s="9"/>
      <c r="O100" s="9"/>
    </row>
    <row r="101" ht="15.75" customHeight="1">
      <c r="D101" s="9"/>
      <c r="E101" s="9"/>
      <c r="F101" s="9"/>
      <c r="G101" s="9"/>
      <c r="H101" s="9"/>
      <c r="J101" s="9"/>
      <c r="K101" s="9"/>
      <c r="L101" s="9"/>
      <c r="M101" s="9"/>
      <c r="N101" s="9"/>
      <c r="O101" s="9"/>
    </row>
    <row r="102" ht="15.75" customHeight="1">
      <c r="D102" s="9"/>
      <c r="E102" s="9"/>
      <c r="F102" s="9"/>
      <c r="G102" s="9"/>
      <c r="H102" s="9"/>
      <c r="J102" s="9"/>
      <c r="K102" s="9"/>
      <c r="L102" s="9"/>
      <c r="M102" s="9"/>
      <c r="N102" s="9"/>
      <c r="O102" s="9"/>
    </row>
    <row r="103" ht="15.75" customHeight="1">
      <c r="D103" s="9"/>
      <c r="E103" s="9"/>
      <c r="F103" s="9"/>
      <c r="G103" s="9"/>
      <c r="H103" s="9"/>
      <c r="J103" s="9"/>
      <c r="K103" s="9"/>
      <c r="L103" s="9"/>
      <c r="M103" s="9"/>
      <c r="N103" s="9"/>
      <c r="O103" s="9"/>
    </row>
    <row r="104" ht="15.75" customHeight="1">
      <c r="D104" s="9"/>
      <c r="E104" s="9"/>
      <c r="F104" s="9"/>
      <c r="G104" s="9"/>
      <c r="H104" s="9"/>
      <c r="J104" s="9"/>
      <c r="K104" s="9"/>
      <c r="L104" s="9"/>
      <c r="M104" s="9"/>
      <c r="N104" s="9"/>
      <c r="O104" s="9"/>
    </row>
    <row r="105" ht="15.75" customHeight="1">
      <c r="D105" s="9"/>
      <c r="E105" s="9"/>
      <c r="F105" s="9"/>
      <c r="G105" s="9"/>
      <c r="H105" s="9"/>
      <c r="J105" s="9"/>
      <c r="K105" s="9"/>
      <c r="L105" s="9"/>
      <c r="M105" s="9"/>
      <c r="N105" s="9"/>
      <c r="O105" s="9"/>
    </row>
    <row r="106" ht="15.75" customHeight="1">
      <c r="D106" s="9"/>
      <c r="E106" s="9"/>
      <c r="F106" s="9"/>
      <c r="G106" s="9"/>
      <c r="H106" s="9"/>
      <c r="J106" s="9"/>
      <c r="K106" s="9"/>
      <c r="L106" s="9"/>
      <c r="M106" s="9"/>
      <c r="N106" s="9"/>
      <c r="O106" s="9"/>
    </row>
    <row r="107" ht="15.75" customHeight="1">
      <c r="D107" s="9"/>
      <c r="E107" s="9"/>
      <c r="F107" s="9"/>
      <c r="G107" s="9"/>
      <c r="H107" s="9"/>
      <c r="J107" s="9"/>
      <c r="K107" s="9"/>
      <c r="L107" s="9"/>
      <c r="M107" s="9"/>
      <c r="N107" s="9"/>
      <c r="O107" s="9"/>
    </row>
    <row r="108" ht="15.75" customHeight="1">
      <c r="D108" s="9"/>
      <c r="E108" s="9"/>
      <c r="F108" s="9"/>
      <c r="G108" s="9"/>
      <c r="H108" s="9"/>
      <c r="J108" s="9"/>
      <c r="K108" s="9"/>
      <c r="L108" s="9"/>
      <c r="M108" s="9"/>
      <c r="N108" s="9"/>
      <c r="O108" s="9"/>
    </row>
    <row r="109" ht="15.75" customHeight="1">
      <c r="D109" s="9"/>
      <c r="E109" s="9"/>
      <c r="F109" s="9"/>
      <c r="G109" s="9"/>
      <c r="H109" s="9"/>
      <c r="J109" s="9"/>
      <c r="K109" s="9"/>
      <c r="L109" s="9"/>
      <c r="M109" s="9"/>
      <c r="N109" s="9"/>
      <c r="O109" s="9"/>
    </row>
    <row r="110" ht="15.75" customHeight="1">
      <c r="D110" s="9"/>
      <c r="E110" s="9"/>
      <c r="F110" s="9"/>
      <c r="G110" s="9"/>
      <c r="H110" s="9"/>
      <c r="J110" s="9"/>
      <c r="K110" s="9"/>
      <c r="L110" s="9"/>
      <c r="M110" s="9"/>
      <c r="N110" s="9"/>
      <c r="O110" s="9"/>
    </row>
    <row r="111" ht="15.75" customHeight="1">
      <c r="D111" s="9"/>
      <c r="E111" s="9"/>
      <c r="F111" s="9"/>
      <c r="G111" s="9"/>
      <c r="H111" s="9"/>
      <c r="J111" s="9"/>
      <c r="K111" s="9"/>
      <c r="L111" s="9"/>
      <c r="M111" s="9"/>
      <c r="N111" s="9"/>
      <c r="O111" s="9"/>
    </row>
    <row r="112" ht="15.75" customHeight="1">
      <c r="D112" s="9"/>
      <c r="E112" s="9"/>
      <c r="F112" s="9"/>
      <c r="G112" s="9"/>
      <c r="H112" s="9"/>
      <c r="J112" s="9"/>
      <c r="K112" s="9"/>
      <c r="L112" s="9"/>
      <c r="M112" s="9"/>
      <c r="N112" s="9"/>
      <c r="O112" s="9"/>
    </row>
    <row r="113" ht="15.75" customHeight="1">
      <c r="D113" s="9"/>
      <c r="E113" s="9"/>
      <c r="F113" s="9"/>
      <c r="G113" s="9"/>
      <c r="H113" s="9"/>
      <c r="J113" s="9"/>
      <c r="K113" s="9"/>
      <c r="L113" s="9"/>
      <c r="M113" s="9"/>
      <c r="N113" s="9"/>
      <c r="O113" s="9"/>
    </row>
    <row r="114" ht="15.75" customHeight="1"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</row>
    <row r="115" ht="15.75" customHeight="1">
      <c r="D115" s="9"/>
      <c r="E115" s="9"/>
      <c r="F115" s="9"/>
      <c r="G115" s="9"/>
      <c r="H115" s="9"/>
      <c r="J115" s="9"/>
      <c r="K115" s="9"/>
      <c r="L115" s="9"/>
      <c r="M115" s="9"/>
      <c r="N115" s="9"/>
      <c r="O115" s="9"/>
    </row>
    <row r="116" ht="15.75" customHeight="1">
      <c r="D116" s="9"/>
      <c r="E116" s="9"/>
      <c r="F116" s="9"/>
      <c r="G116" s="9"/>
      <c r="H116" s="9"/>
      <c r="J116" s="9"/>
      <c r="K116" s="9"/>
      <c r="L116" s="9"/>
      <c r="M116" s="9"/>
      <c r="N116" s="9"/>
      <c r="O116" s="9"/>
    </row>
    <row r="117" ht="15.75" customHeight="1">
      <c r="D117" s="9"/>
      <c r="E117" s="9"/>
      <c r="F117" s="9"/>
      <c r="G117" s="9"/>
      <c r="H117" s="9"/>
      <c r="J117" s="9"/>
      <c r="K117" s="9"/>
      <c r="L117" s="9"/>
      <c r="M117" s="9"/>
      <c r="N117" s="9"/>
      <c r="O117" s="9"/>
    </row>
    <row r="118" ht="15.75" customHeight="1">
      <c r="D118" s="9"/>
      <c r="E118" s="9"/>
      <c r="F118" s="9"/>
      <c r="G118" s="9"/>
      <c r="H118" s="9"/>
      <c r="J118" s="9"/>
      <c r="K118" s="9"/>
      <c r="L118" s="9"/>
      <c r="M118" s="9"/>
      <c r="N118" s="9"/>
      <c r="O118" s="9"/>
    </row>
    <row r="119" ht="15.75" customHeight="1">
      <c r="D119" s="9"/>
      <c r="E119" s="9"/>
      <c r="F119" s="9"/>
      <c r="G119" s="9"/>
      <c r="H119" s="9"/>
      <c r="J119" s="9"/>
      <c r="K119" s="9"/>
      <c r="L119" s="9"/>
      <c r="M119" s="9"/>
      <c r="N119" s="9"/>
      <c r="O119" s="9"/>
    </row>
    <row r="120" ht="15.75" customHeight="1">
      <c r="D120" s="9"/>
      <c r="E120" s="9"/>
      <c r="F120" s="9"/>
      <c r="G120" s="9"/>
      <c r="H120" s="9"/>
      <c r="J120" s="9"/>
      <c r="K120" s="9"/>
      <c r="L120" s="9"/>
      <c r="M120" s="9"/>
      <c r="N120" s="9"/>
      <c r="O120" s="9"/>
    </row>
    <row r="121" ht="15.75" customHeight="1">
      <c r="D121" s="9"/>
      <c r="E121" s="9"/>
      <c r="F121" s="9"/>
      <c r="G121" s="9"/>
      <c r="H121" s="9"/>
      <c r="J121" s="9"/>
      <c r="K121" s="9"/>
      <c r="L121" s="9"/>
      <c r="M121" s="9"/>
      <c r="N121" s="9"/>
      <c r="O121" s="9"/>
    </row>
    <row r="122" ht="15.75" customHeight="1">
      <c r="D122" s="9"/>
      <c r="E122" s="9"/>
      <c r="F122" s="9"/>
      <c r="G122" s="9"/>
      <c r="H122" s="9"/>
      <c r="J122" s="9"/>
      <c r="K122" s="9"/>
      <c r="L122" s="9"/>
      <c r="M122" s="9"/>
      <c r="N122" s="9"/>
      <c r="O122" s="9"/>
    </row>
    <row r="123" ht="15.75" customHeight="1">
      <c r="D123" s="9"/>
      <c r="E123" s="9"/>
      <c r="F123" s="9"/>
      <c r="G123" s="9"/>
      <c r="H123" s="9"/>
      <c r="J123" s="9"/>
      <c r="K123" s="9"/>
      <c r="L123" s="9"/>
      <c r="M123" s="9"/>
      <c r="N123" s="9"/>
      <c r="O123" s="9"/>
    </row>
    <row r="124" ht="15.75" customHeight="1">
      <c r="D124" s="9"/>
      <c r="E124" s="9"/>
      <c r="F124" s="9"/>
      <c r="G124" s="9"/>
      <c r="H124" s="9"/>
      <c r="J124" s="9"/>
      <c r="K124" s="9"/>
      <c r="L124" s="9"/>
      <c r="M124" s="9"/>
      <c r="N124" s="9"/>
      <c r="O124" s="9"/>
    </row>
    <row r="125" ht="15.75" customHeight="1">
      <c r="D125" s="9"/>
      <c r="E125" s="9"/>
      <c r="F125" s="9"/>
      <c r="G125" s="9"/>
      <c r="H125" s="9"/>
      <c r="J125" s="9"/>
      <c r="K125" s="9"/>
      <c r="L125" s="9"/>
      <c r="M125" s="9"/>
      <c r="N125" s="9"/>
      <c r="O125" s="9"/>
    </row>
    <row r="126" ht="15.75" customHeight="1">
      <c r="D126" s="9"/>
      <c r="E126" s="9"/>
      <c r="F126" s="9"/>
      <c r="G126" s="9"/>
      <c r="H126" s="9"/>
      <c r="J126" s="9"/>
      <c r="K126" s="9"/>
      <c r="L126" s="9"/>
      <c r="M126" s="9"/>
      <c r="N126" s="9"/>
      <c r="O126" s="9"/>
    </row>
    <row r="127" ht="15.75" customHeight="1">
      <c r="D127" s="9"/>
      <c r="E127" s="9"/>
      <c r="F127" s="9"/>
      <c r="G127" s="9"/>
      <c r="H127" s="9"/>
      <c r="J127" s="9"/>
      <c r="K127" s="9"/>
      <c r="L127" s="9"/>
      <c r="M127" s="9"/>
      <c r="N127" s="9"/>
      <c r="O127" s="9"/>
    </row>
    <row r="128" ht="15.75" customHeight="1">
      <c r="D128" s="9"/>
      <c r="E128" s="9"/>
      <c r="F128" s="9"/>
      <c r="G128" s="9"/>
      <c r="H128" s="9"/>
      <c r="J128" s="9"/>
      <c r="K128" s="9"/>
      <c r="L128" s="9"/>
      <c r="M128" s="9"/>
      <c r="N128" s="9"/>
      <c r="O128" s="9"/>
    </row>
    <row r="129" ht="15.75" customHeight="1">
      <c r="D129" s="9"/>
      <c r="E129" s="9"/>
      <c r="F129" s="9"/>
      <c r="G129" s="9"/>
      <c r="H129" s="9"/>
      <c r="J129" s="9"/>
      <c r="K129" s="9"/>
      <c r="L129" s="9"/>
      <c r="M129" s="9"/>
      <c r="N129" s="9"/>
      <c r="O129" s="9"/>
    </row>
    <row r="130" ht="15.75" customHeight="1">
      <c r="D130" s="9"/>
      <c r="E130" s="9"/>
      <c r="F130" s="9"/>
      <c r="G130" s="9"/>
      <c r="H130" s="9"/>
      <c r="J130" s="9"/>
      <c r="K130" s="9"/>
      <c r="L130" s="9"/>
      <c r="M130" s="9"/>
      <c r="N130" s="9"/>
      <c r="O130" s="9"/>
    </row>
    <row r="131" ht="15.75" customHeight="1">
      <c r="D131" s="9"/>
      <c r="E131" s="9"/>
      <c r="F131" s="9"/>
      <c r="G131" s="9"/>
      <c r="H131" s="9"/>
      <c r="J131" s="9"/>
      <c r="K131" s="9"/>
      <c r="L131" s="9"/>
      <c r="M131" s="9"/>
      <c r="N131" s="9"/>
      <c r="O131" s="9"/>
    </row>
    <row r="132" ht="15.75" customHeight="1">
      <c r="D132" s="9"/>
      <c r="E132" s="9"/>
      <c r="F132" s="9"/>
      <c r="G132" s="9"/>
      <c r="H132" s="9"/>
      <c r="J132" s="9"/>
      <c r="K132" s="9"/>
      <c r="L132" s="9"/>
      <c r="M132" s="9"/>
      <c r="N132" s="9"/>
      <c r="O132" s="9"/>
    </row>
    <row r="133" ht="15.75" customHeight="1">
      <c r="D133" s="9"/>
      <c r="E133" s="9"/>
      <c r="F133" s="9"/>
      <c r="G133" s="9"/>
      <c r="H133" s="9"/>
      <c r="J133" s="9"/>
      <c r="K133" s="9"/>
      <c r="L133" s="9"/>
      <c r="M133" s="9"/>
      <c r="N133" s="9"/>
      <c r="O133" s="9"/>
    </row>
    <row r="134" ht="15.75" customHeight="1">
      <c r="D134" s="9"/>
      <c r="E134" s="9"/>
      <c r="F134" s="9"/>
      <c r="G134" s="9"/>
      <c r="H134" s="9"/>
      <c r="J134" s="9"/>
      <c r="K134" s="9"/>
      <c r="L134" s="9"/>
      <c r="M134" s="9"/>
      <c r="N134" s="9"/>
      <c r="O134" s="9"/>
    </row>
    <row r="135" ht="15.75" customHeight="1">
      <c r="D135" s="9"/>
      <c r="E135" s="9"/>
      <c r="F135" s="9"/>
      <c r="G135" s="9"/>
      <c r="H135" s="9"/>
      <c r="J135" s="9"/>
      <c r="K135" s="9"/>
      <c r="L135" s="9"/>
      <c r="M135" s="9"/>
      <c r="N135" s="9"/>
      <c r="O135" s="9"/>
    </row>
    <row r="136" ht="15.75" customHeight="1">
      <c r="D136" s="9"/>
      <c r="E136" s="9"/>
      <c r="F136" s="9"/>
      <c r="G136" s="9"/>
      <c r="H136" s="9"/>
      <c r="J136" s="9"/>
      <c r="K136" s="9"/>
      <c r="L136" s="9"/>
      <c r="M136" s="9"/>
      <c r="N136" s="9"/>
      <c r="O136" s="9"/>
    </row>
    <row r="137" ht="15.75" customHeight="1">
      <c r="D137" s="9"/>
      <c r="E137" s="9"/>
      <c r="F137" s="9"/>
      <c r="G137" s="9"/>
      <c r="H137" s="9"/>
      <c r="J137" s="9"/>
      <c r="K137" s="9"/>
      <c r="L137" s="9"/>
      <c r="M137" s="9"/>
      <c r="N137" s="9"/>
      <c r="O137" s="9"/>
    </row>
    <row r="138" ht="15.75" customHeight="1">
      <c r="D138" s="9"/>
      <c r="E138" s="9"/>
      <c r="F138" s="9"/>
      <c r="G138" s="9"/>
      <c r="H138" s="9"/>
      <c r="J138" s="9"/>
      <c r="K138" s="9"/>
      <c r="L138" s="9"/>
      <c r="M138" s="9"/>
      <c r="N138" s="9"/>
      <c r="O138" s="9"/>
    </row>
    <row r="139" ht="15.75" customHeight="1">
      <c r="D139" s="9"/>
      <c r="E139" s="9"/>
      <c r="F139" s="9"/>
      <c r="G139" s="9"/>
      <c r="H139" s="9"/>
      <c r="J139" s="9"/>
      <c r="K139" s="9"/>
      <c r="L139" s="9"/>
      <c r="M139" s="9"/>
      <c r="N139" s="9"/>
      <c r="O139" s="9"/>
    </row>
    <row r="140" ht="15.75" customHeight="1">
      <c r="D140" s="9"/>
      <c r="E140" s="9"/>
      <c r="F140" s="9"/>
      <c r="G140" s="9"/>
      <c r="H140" s="9"/>
      <c r="J140" s="9"/>
      <c r="K140" s="9"/>
      <c r="L140" s="9"/>
      <c r="M140" s="9"/>
      <c r="N140" s="9"/>
      <c r="O140" s="9"/>
    </row>
    <row r="141" ht="15.75" customHeight="1">
      <c r="D141" s="9"/>
      <c r="E141" s="9"/>
      <c r="F141" s="9"/>
      <c r="G141" s="9"/>
      <c r="H141" s="9"/>
      <c r="J141" s="9"/>
      <c r="K141" s="9"/>
      <c r="L141" s="9"/>
      <c r="M141" s="9"/>
      <c r="N141" s="9"/>
      <c r="O141" s="9"/>
    </row>
    <row r="142" ht="15.75" customHeight="1">
      <c r="D142" s="9"/>
      <c r="E142" s="9"/>
      <c r="F142" s="9"/>
      <c r="G142" s="9"/>
      <c r="H142" s="9"/>
      <c r="J142" s="9"/>
      <c r="K142" s="9"/>
      <c r="L142" s="9"/>
      <c r="M142" s="9"/>
      <c r="N142" s="9"/>
      <c r="O142" s="9"/>
    </row>
    <row r="143" ht="15.75" customHeight="1">
      <c r="D143" s="9"/>
      <c r="E143" s="9"/>
      <c r="F143" s="9"/>
      <c r="G143" s="9"/>
      <c r="H143" s="9"/>
      <c r="J143" s="9"/>
      <c r="K143" s="9"/>
      <c r="L143" s="9"/>
      <c r="M143" s="9"/>
      <c r="N143" s="9"/>
      <c r="O143" s="9"/>
    </row>
    <row r="144" ht="15.75" customHeight="1">
      <c r="D144" s="9"/>
      <c r="E144" s="9"/>
      <c r="F144" s="9"/>
      <c r="G144" s="9"/>
      <c r="H144" s="9"/>
      <c r="J144" s="9"/>
      <c r="K144" s="9"/>
      <c r="L144" s="9"/>
      <c r="M144" s="9"/>
      <c r="N144" s="9"/>
      <c r="O144" s="9"/>
    </row>
    <row r="145" ht="15.75" customHeight="1">
      <c r="D145" s="9"/>
      <c r="E145" s="9"/>
      <c r="F145" s="9"/>
      <c r="G145" s="9"/>
      <c r="H145" s="9"/>
      <c r="J145" s="9"/>
      <c r="K145" s="9"/>
      <c r="L145" s="9"/>
      <c r="M145" s="9"/>
      <c r="N145" s="9"/>
      <c r="O145" s="9"/>
    </row>
    <row r="146" ht="15.75" customHeight="1">
      <c r="D146" s="9"/>
      <c r="E146" s="9"/>
      <c r="F146" s="9"/>
      <c r="G146" s="9"/>
      <c r="H146" s="9"/>
      <c r="J146" s="9"/>
      <c r="K146" s="9"/>
      <c r="L146" s="9"/>
      <c r="M146" s="9"/>
      <c r="N146" s="9"/>
      <c r="O146" s="9"/>
    </row>
    <row r="147" ht="15.75" customHeight="1">
      <c r="D147" s="9"/>
      <c r="E147" s="9"/>
      <c r="F147" s="9"/>
      <c r="G147" s="9"/>
      <c r="H147" s="9"/>
      <c r="J147" s="9"/>
      <c r="K147" s="9"/>
      <c r="L147" s="9"/>
      <c r="M147" s="9"/>
      <c r="N147" s="9"/>
      <c r="O147" s="9"/>
    </row>
    <row r="148" ht="15.75" customHeight="1">
      <c r="D148" s="9"/>
      <c r="E148" s="9"/>
      <c r="F148" s="9"/>
      <c r="G148" s="9"/>
      <c r="H148" s="9"/>
      <c r="J148" s="9"/>
      <c r="K148" s="9"/>
      <c r="L148" s="9"/>
      <c r="M148" s="9"/>
      <c r="N148" s="9"/>
      <c r="O148" s="9"/>
    </row>
    <row r="149" ht="15.75" customHeight="1">
      <c r="D149" s="9"/>
      <c r="E149" s="9"/>
      <c r="F149" s="9"/>
      <c r="G149" s="9"/>
      <c r="H149" s="9"/>
      <c r="J149" s="9"/>
      <c r="K149" s="9"/>
      <c r="L149" s="9"/>
      <c r="M149" s="9"/>
      <c r="N149" s="9"/>
      <c r="O149" s="9"/>
    </row>
    <row r="150" ht="15.75" customHeight="1">
      <c r="D150" s="9"/>
      <c r="E150" s="9"/>
      <c r="F150" s="9"/>
      <c r="G150" s="9"/>
      <c r="H150" s="9"/>
      <c r="J150" s="9"/>
      <c r="K150" s="9"/>
      <c r="L150" s="9"/>
      <c r="M150" s="9"/>
      <c r="N150" s="9"/>
      <c r="O150" s="9"/>
    </row>
    <row r="151" ht="15.75" customHeight="1">
      <c r="D151" s="9"/>
      <c r="E151" s="9"/>
      <c r="F151" s="9"/>
      <c r="G151" s="9"/>
      <c r="H151" s="9"/>
      <c r="J151" s="9"/>
      <c r="K151" s="9"/>
      <c r="L151" s="9"/>
      <c r="M151" s="9"/>
      <c r="N151" s="9"/>
      <c r="O151" s="9"/>
    </row>
    <row r="152" ht="15.75" customHeight="1">
      <c r="D152" s="9"/>
      <c r="E152" s="9"/>
      <c r="F152" s="9"/>
      <c r="G152" s="9"/>
      <c r="H152" s="9"/>
      <c r="J152" s="9"/>
      <c r="K152" s="9"/>
      <c r="L152" s="9"/>
      <c r="M152" s="9"/>
      <c r="N152" s="9"/>
      <c r="O152" s="9"/>
    </row>
    <row r="153" ht="15.75" customHeight="1">
      <c r="D153" s="9"/>
      <c r="E153" s="9"/>
      <c r="F153" s="9"/>
      <c r="G153" s="9"/>
      <c r="H153" s="9"/>
      <c r="J153" s="9"/>
      <c r="K153" s="9"/>
      <c r="L153" s="9"/>
      <c r="M153" s="9"/>
      <c r="N153" s="9"/>
      <c r="O153" s="9"/>
    </row>
    <row r="154" ht="15.75" customHeight="1">
      <c r="D154" s="9"/>
      <c r="E154" s="9"/>
      <c r="F154" s="9"/>
      <c r="G154" s="9"/>
      <c r="H154" s="9"/>
      <c r="J154" s="9"/>
      <c r="K154" s="9"/>
      <c r="L154" s="9"/>
      <c r="M154" s="9"/>
      <c r="N154" s="9"/>
      <c r="O154" s="9"/>
    </row>
    <row r="155" ht="15.75" customHeight="1">
      <c r="D155" s="9"/>
      <c r="E155" s="9"/>
      <c r="F155" s="9"/>
      <c r="G155" s="9"/>
      <c r="H155" s="9"/>
      <c r="J155" s="9"/>
      <c r="K155" s="9"/>
      <c r="L155" s="9"/>
      <c r="M155" s="9"/>
      <c r="N155" s="9"/>
      <c r="O155" s="9"/>
    </row>
    <row r="156" ht="15.75" customHeight="1">
      <c r="D156" s="9"/>
      <c r="E156" s="9"/>
      <c r="F156" s="9"/>
      <c r="G156" s="9"/>
      <c r="H156" s="9"/>
      <c r="J156" s="9"/>
      <c r="K156" s="9"/>
      <c r="L156" s="9"/>
      <c r="M156" s="9"/>
      <c r="N156" s="9"/>
      <c r="O156" s="9"/>
    </row>
    <row r="157" ht="15.75" customHeight="1">
      <c r="D157" s="9"/>
      <c r="E157" s="9"/>
      <c r="F157" s="9"/>
      <c r="G157" s="9"/>
      <c r="H157" s="9"/>
      <c r="J157" s="9"/>
      <c r="K157" s="9"/>
      <c r="L157" s="9"/>
      <c r="M157" s="9"/>
      <c r="N157" s="9"/>
      <c r="O157" s="9"/>
    </row>
    <row r="158" ht="15.75" customHeight="1">
      <c r="D158" s="9"/>
      <c r="E158" s="9"/>
      <c r="F158" s="9"/>
      <c r="G158" s="9"/>
      <c r="H158" s="9"/>
      <c r="J158" s="9"/>
      <c r="K158" s="9"/>
      <c r="L158" s="9"/>
      <c r="M158" s="9"/>
      <c r="N158" s="9"/>
      <c r="O158" s="9"/>
    </row>
    <row r="159" ht="15.75" customHeight="1">
      <c r="D159" s="9"/>
      <c r="E159" s="9"/>
      <c r="F159" s="9"/>
      <c r="G159" s="9"/>
      <c r="H159" s="9"/>
      <c r="J159" s="9"/>
      <c r="K159" s="9"/>
      <c r="L159" s="9"/>
      <c r="M159" s="9"/>
      <c r="N159" s="9"/>
      <c r="O159" s="9"/>
    </row>
    <row r="160" ht="15.75" customHeight="1">
      <c r="D160" s="9"/>
      <c r="E160" s="9"/>
      <c r="F160" s="9"/>
      <c r="G160" s="9"/>
      <c r="H160" s="9"/>
      <c r="J160" s="9"/>
      <c r="K160" s="9"/>
      <c r="L160" s="9"/>
      <c r="M160" s="9"/>
      <c r="N160" s="9"/>
      <c r="O160" s="9"/>
    </row>
    <row r="161" ht="15.75" customHeight="1">
      <c r="D161" s="9"/>
      <c r="E161" s="9"/>
      <c r="F161" s="9"/>
      <c r="G161" s="9"/>
      <c r="H161" s="9"/>
      <c r="J161" s="9"/>
      <c r="K161" s="9"/>
      <c r="L161" s="9"/>
      <c r="M161" s="9"/>
      <c r="N161" s="9"/>
      <c r="O161" s="9"/>
    </row>
    <row r="162" ht="15.75" customHeight="1">
      <c r="D162" s="9"/>
      <c r="E162" s="9"/>
      <c r="F162" s="9"/>
      <c r="G162" s="9"/>
      <c r="H162" s="9"/>
      <c r="J162" s="9"/>
      <c r="K162" s="9"/>
      <c r="L162" s="9"/>
      <c r="M162" s="9"/>
      <c r="N162" s="9"/>
      <c r="O162" s="9"/>
    </row>
    <row r="163" ht="15.75" customHeight="1">
      <c r="D163" s="9"/>
      <c r="E163" s="9"/>
      <c r="F163" s="9"/>
      <c r="G163" s="9"/>
      <c r="H163" s="9"/>
      <c r="J163" s="9"/>
      <c r="K163" s="9"/>
      <c r="L163" s="9"/>
      <c r="M163" s="9"/>
      <c r="N163" s="9"/>
      <c r="O163" s="9"/>
    </row>
    <row r="164" ht="15.75" customHeight="1">
      <c r="D164" s="9"/>
      <c r="E164" s="9"/>
      <c r="F164" s="9"/>
      <c r="G164" s="9"/>
      <c r="H164" s="9"/>
      <c r="J164" s="9"/>
      <c r="K164" s="9"/>
      <c r="L164" s="9"/>
      <c r="M164" s="9"/>
      <c r="N164" s="9"/>
      <c r="O164" s="9"/>
    </row>
    <row r="165" ht="15.75" customHeight="1">
      <c r="D165" s="9"/>
      <c r="E165" s="9"/>
      <c r="F165" s="9"/>
      <c r="G165" s="9"/>
      <c r="H165" s="9"/>
      <c r="J165" s="9"/>
      <c r="K165" s="9"/>
      <c r="L165" s="9"/>
      <c r="M165" s="9"/>
      <c r="N165" s="9"/>
      <c r="O165" s="9"/>
    </row>
    <row r="166" ht="15.75" customHeight="1">
      <c r="D166" s="9"/>
      <c r="E166" s="9"/>
      <c r="F166" s="9"/>
      <c r="G166" s="9"/>
      <c r="H166" s="9"/>
      <c r="J166" s="9"/>
      <c r="K166" s="9"/>
      <c r="L166" s="9"/>
      <c r="M166" s="9"/>
      <c r="N166" s="9"/>
      <c r="O166" s="9"/>
    </row>
    <row r="167" ht="15.75" customHeight="1">
      <c r="D167" s="9"/>
      <c r="E167" s="9"/>
      <c r="F167" s="9"/>
      <c r="G167" s="9"/>
      <c r="H167" s="9"/>
      <c r="J167" s="9"/>
      <c r="K167" s="9"/>
      <c r="L167" s="9"/>
      <c r="M167" s="9"/>
      <c r="N167" s="9"/>
      <c r="O167" s="9"/>
    </row>
    <row r="168" ht="15.75" customHeight="1">
      <c r="D168" s="9"/>
      <c r="E168" s="9"/>
      <c r="F168" s="9"/>
      <c r="G168" s="9"/>
      <c r="H168" s="9"/>
      <c r="J168" s="9"/>
      <c r="K168" s="9"/>
      <c r="L168" s="9"/>
      <c r="M168" s="9"/>
      <c r="N168" s="9"/>
      <c r="O168" s="9"/>
    </row>
    <row r="169" ht="15.75" customHeight="1">
      <c r="D169" s="9"/>
      <c r="E169" s="9"/>
      <c r="F169" s="9"/>
      <c r="G169" s="9"/>
      <c r="H169" s="9"/>
      <c r="J169" s="9"/>
      <c r="K169" s="9"/>
      <c r="L169" s="9"/>
      <c r="M169" s="9"/>
      <c r="N169" s="9"/>
      <c r="O169" s="9"/>
    </row>
    <row r="170" ht="15.75" customHeight="1">
      <c r="D170" s="9"/>
      <c r="E170" s="9"/>
      <c r="F170" s="9"/>
      <c r="G170" s="9"/>
      <c r="H170" s="9"/>
      <c r="J170" s="9"/>
      <c r="K170" s="9"/>
      <c r="L170" s="9"/>
      <c r="M170" s="9"/>
      <c r="N170" s="9"/>
      <c r="O170" s="9"/>
    </row>
    <row r="171" ht="15.75" customHeight="1">
      <c r="D171" s="9"/>
      <c r="E171" s="9"/>
      <c r="F171" s="9"/>
      <c r="G171" s="9"/>
      <c r="H171" s="9"/>
      <c r="J171" s="9"/>
      <c r="K171" s="9"/>
      <c r="L171" s="9"/>
      <c r="M171" s="9"/>
      <c r="N171" s="9"/>
      <c r="O171" s="9"/>
    </row>
    <row r="172" ht="15.75" customHeight="1">
      <c r="D172" s="9"/>
      <c r="E172" s="9"/>
      <c r="F172" s="9"/>
      <c r="G172" s="9"/>
      <c r="H172" s="9"/>
      <c r="J172" s="9"/>
      <c r="K172" s="9"/>
      <c r="L172" s="9"/>
      <c r="M172" s="9"/>
      <c r="N172" s="9"/>
      <c r="O172" s="9"/>
    </row>
    <row r="173" ht="15.75" customHeight="1">
      <c r="D173" s="9"/>
      <c r="E173" s="9"/>
      <c r="F173" s="9"/>
      <c r="G173" s="9"/>
      <c r="H173" s="9"/>
      <c r="J173" s="9"/>
      <c r="K173" s="9"/>
      <c r="L173" s="9"/>
      <c r="M173" s="9"/>
      <c r="N173" s="9"/>
      <c r="O173" s="9"/>
    </row>
    <row r="174" ht="15.75" customHeight="1">
      <c r="D174" s="9"/>
      <c r="E174" s="9"/>
      <c r="F174" s="9"/>
      <c r="G174" s="9"/>
      <c r="H174" s="9"/>
      <c r="J174" s="9"/>
      <c r="K174" s="9"/>
      <c r="L174" s="9"/>
      <c r="M174" s="9"/>
      <c r="N174" s="9"/>
      <c r="O174" s="9"/>
    </row>
    <row r="175" ht="15.75" customHeight="1">
      <c r="D175" s="9"/>
      <c r="E175" s="9"/>
      <c r="F175" s="9"/>
      <c r="G175" s="9"/>
      <c r="H175" s="9"/>
      <c r="J175" s="9"/>
      <c r="K175" s="9"/>
      <c r="L175" s="9"/>
      <c r="M175" s="9"/>
      <c r="N175" s="9"/>
      <c r="O175" s="9"/>
    </row>
    <row r="176" ht="15.75" customHeight="1">
      <c r="D176" s="9"/>
      <c r="E176" s="9"/>
      <c r="F176" s="9"/>
      <c r="G176" s="9"/>
      <c r="H176" s="9"/>
      <c r="J176" s="9"/>
      <c r="K176" s="9"/>
      <c r="L176" s="9"/>
      <c r="M176" s="9"/>
      <c r="N176" s="9"/>
      <c r="O176" s="9"/>
    </row>
    <row r="177" ht="15.75" customHeight="1">
      <c r="D177" s="9"/>
      <c r="E177" s="9"/>
      <c r="F177" s="9"/>
      <c r="G177" s="9"/>
      <c r="H177" s="9"/>
      <c r="J177" s="9"/>
      <c r="K177" s="9"/>
      <c r="L177" s="9"/>
      <c r="M177" s="9"/>
      <c r="N177" s="9"/>
      <c r="O177" s="9"/>
    </row>
    <row r="178" ht="15.75" customHeight="1">
      <c r="D178" s="9"/>
      <c r="E178" s="9"/>
      <c r="F178" s="9"/>
      <c r="G178" s="9"/>
      <c r="H178" s="9"/>
      <c r="J178" s="9"/>
      <c r="K178" s="9"/>
      <c r="L178" s="9"/>
      <c r="M178" s="9"/>
      <c r="N178" s="9"/>
      <c r="O178" s="9"/>
    </row>
    <row r="179" ht="15.75" customHeight="1">
      <c r="D179" s="9"/>
      <c r="E179" s="9"/>
      <c r="F179" s="9"/>
      <c r="G179" s="9"/>
      <c r="H179" s="9"/>
      <c r="J179" s="9"/>
      <c r="K179" s="9"/>
      <c r="L179" s="9"/>
      <c r="M179" s="9"/>
      <c r="N179" s="9"/>
      <c r="O179" s="9"/>
    </row>
    <row r="180" ht="15.75" customHeight="1">
      <c r="D180" s="9"/>
      <c r="E180" s="9"/>
      <c r="F180" s="9"/>
      <c r="G180" s="9"/>
      <c r="H180" s="9"/>
      <c r="J180" s="9"/>
      <c r="K180" s="9"/>
      <c r="L180" s="9"/>
      <c r="M180" s="9"/>
      <c r="N180" s="9"/>
      <c r="O180" s="9"/>
    </row>
    <row r="181" ht="15.75" customHeight="1">
      <c r="D181" s="9"/>
      <c r="E181" s="9"/>
      <c r="F181" s="9"/>
      <c r="G181" s="9"/>
      <c r="H181" s="9"/>
      <c r="J181" s="9"/>
      <c r="K181" s="9"/>
      <c r="L181" s="9"/>
      <c r="M181" s="9"/>
      <c r="N181" s="9"/>
      <c r="O181" s="9"/>
    </row>
    <row r="182" ht="15.75" customHeight="1">
      <c r="D182" s="9"/>
      <c r="E182" s="9"/>
      <c r="F182" s="9"/>
      <c r="G182" s="9"/>
      <c r="H182" s="9"/>
      <c r="J182" s="9"/>
      <c r="K182" s="9"/>
      <c r="L182" s="9"/>
      <c r="M182" s="9"/>
      <c r="N182" s="9"/>
      <c r="O182" s="9"/>
    </row>
    <row r="183" ht="15.75" customHeight="1">
      <c r="D183" s="9"/>
      <c r="E183" s="9"/>
      <c r="F183" s="9"/>
      <c r="G183" s="9"/>
      <c r="H183" s="9"/>
      <c r="J183" s="9"/>
      <c r="K183" s="9"/>
      <c r="L183" s="9"/>
      <c r="M183" s="9"/>
      <c r="N183" s="9"/>
      <c r="O183" s="9"/>
    </row>
    <row r="184" ht="15.75" customHeight="1">
      <c r="D184" s="9"/>
      <c r="E184" s="9"/>
      <c r="F184" s="9"/>
      <c r="G184" s="9"/>
      <c r="H184" s="9"/>
      <c r="J184" s="9"/>
      <c r="K184" s="9"/>
      <c r="L184" s="9"/>
      <c r="M184" s="9"/>
      <c r="N184" s="9"/>
      <c r="O184" s="9"/>
    </row>
    <row r="185" ht="15.75" customHeight="1">
      <c r="D185" s="9"/>
      <c r="E185" s="9"/>
      <c r="F185" s="9"/>
      <c r="G185" s="9"/>
      <c r="H185" s="9"/>
      <c r="J185" s="9"/>
      <c r="K185" s="9"/>
      <c r="L185" s="9"/>
      <c r="M185" s="9"/>
      <c r="N185" s="9"/>
      <c r="O185" s="9"/>
    </row>
    <row r="186" ht="15.75" customHeight="1">
      <c r="D186" s="9"/>
      <c r="E186" s="9"/>
      <c r="F186" s="9"/>
      <c r="G186" s="9"/>
      <c r="H186" s="9"/>
      <c r="J186" s="9"/>
      <c r="K186" s="9"/>
      <c r="L186" s="9"/>
      <c r="M186" s="9"/>
      <c r="N186" s="9"/>
      <c r="O186" s="9"/>
    </row>
    <row r="187" ht="15.75" customHeight="1">
      <c r="D187" s="9"/>
      <c r="E187" s="9"/>
      <c r="F187" s="9"/>
      <c r="G187" s="9"/>
      <c r="H187" s="9"/>
      <c r="J187" s="9"/>
      <c r="K187" s="9"/>
      <c r="L187" s="9"/>
      <c r="M187" s="9"/>
      <c r="N187" s="9"/>
      <c r="O187" s="9"/>
    </row>
    <row r="188" ht="15.75" customHeight="1">
      <c r="D188" s="9"/>
      <c r="E188" s="9"/>
      <c r="F188" s="9"/>
      <c r="G188" s="9"/>
      <c r="H188" s="9"/>
      <c r="J188" s="9"/>
      <c r="K188" s="9"/>
      <c r="L188" s="9"/>
      <c r="M188" s="9"/>
      <c r="N188" s="9"/>
      <c r="O188" s="9"/>
    </row>
    <row r="189" ht="15.75" customHeight="1">
      <c r="D189" s="9"/>
      <c r="E189" s="9"/>
      <c r="F189" s="9"/>
      <c r="G189" s="9"/>
      <c r="H189" s="9"/>
      <c r="J189" s="9"/>
      <c r="K189" s="9"/>
      <c r="L189" s="9"/>
      <c r="M189" s="9"/>
      <c r="N189" s="9"/>
      <c r="O189" s="9"/>
    </row>
    <row r="190" ht="15.75" customHeight="1">
      <c r="D190" s="9"/>
      <c r="E190" s="9"/>
      <c r="F190" s="9"/>
      <c r="G190" s="9"/>
      <c r="H190" s="9"/>
      <c r="J190" s="9"/>
      <c r="K190" s="9"/>
      <c r="L190" s="9"/>
      <c r="M190" s="9"/>
      <c r="N190" s="9"/>
      <c r="O190" s="9"/>
    </row>
    <row r="191" ht="15.75" customHeight="1">
      <c r="D191" s="9"/>
      <c r="E191" s="9"/>
      <c r="F191" s="9"/>
      <c r="G191" s="9"/>
      <c r="H191" s="9"/>
      <c r="J191" s="9"/>
      <c r="K191" s="9"/>
      <c r="L191" s="9"/>
      <c r="M191" s="9"/>
      <c r="N191" s="9"/>
      <c r="O191" s="9"/>
    </row>
    <row r="192" ht="15.75" customHeight="1">
      <c r="D192" s="9"/>
      <c r="E192" s="9"/>
      <c r="F192" s="9"/>
      <c r="G192" s="9"/>
      <c r="H192" s="9"/>
      <c r="J192" s="9"/>
      <c r="K192" s="9"/>
      <c r="L192" s="9"/>
      <c r="M192" s="9"/>
      <c r="N192" s="9"/>
      <c r="O192" s="9"/>
    </row>
    <row r="193" ht="15.75" customHeight="1">
      <c r="D193" s="9"/>
      <c r="E193" s="9"/>
      <c r="F193" s="9"/>
      <c r="G193" s="9"/>
      <c r="H193" s="9"/>
      <c r="J193" s="9"/>
      <c r="K193" s="9"/>
      <c r="L193" s="9"/>
      <c r="M193" s="9"/>
      <c r="N193" s="9"/>
      <c r="O193" s="9"/>
    </row>
    <row r="194" ht="15.75" customHeight="1">
      <c r="D194" s="9"/>
      <c r="E194" s="9"/>
      <c r="F194" s="9"/>
      <c r="G194" s="9"/>
      <c r="H194" s="9"/>
      <c r="J194" s="9"/>
      <c r="K194" s="9"/>
      <c r="L194" s="9"/>
      <c r="M194" s="9"/>
      <c r="N194" s="9"/>
      <c r="O194" s="9"/>
    </row>
    <row r="195" ht="15.75" customHeight="1">
      <c r="D195" s="9"/>
      <c r="E195" s="9"/>
      <c r="F195" s="9"/>
      <c r="G195" s="9"/>
      <c r="H195" s="9"/>
      <c r="J195" s="9"/>
      <c r="K195" s="9"/>
      <c r="L195" s="9"/>
      <c r="M195" s="9"/>
      <c r="N195" s="9"/>
      <c r="O195" s="9"/>
    </row>
    <row r="196" ht="15.75" customHeight="1">
      <c r="D196" s="9"/>
      <c r="E196" s="9"/>
      <c r="F196" s="9"/>
      <c r="G196" s="9"/>
      <c r="H196" s="9"/>
      <c r="J196" s="9"/>
      <c r="K196" s="9"/>
      <c r="L196" s="9"/>
      <c r="M196" s="9"/>
      <c r="N196" s="9"/>
      <c r="O196" s="9"/>
    </row>
    <row r="197" ht="15.75" customHeight="1">
      <c r="D197" s="9"/>
      <c r="E197" s="9"/>
      <c r="F197" s="9"/>
      <c r="G197" s="9"/>
      <c r="H197" s="9"/>
      <c r="J197" s="9"/>
      <c r="K197" s="9"/>
      <c r="L197" s="9"/>
      <c r="M197" s="9"/>
      <c r="N197" s="9"/>
      <c r="O197" s="9"/>
    </row>
    <row r="198" ht="15.75" customHeight="1">
      <c r="D198" s="9"/>
      <c r="E198" s="9"/>
      <c r="F198" s="9"/>
      <c r="G198" s="9"/>
      <c r="H198" s="9"/>
      <c r="J198" s="9"/>
      <c r="K198" s="9"/>
      <c r="L198" s="9"/>
      <c r="M198" s="9"/>
      <c r="N198" s="9"/>
      <c r="O198" s="9"/>
    </row>
    <row r="199" ht="15.75" customHeight="1">
      <c r="D199" s="9"/>
      <c r="E199" s="9"/>
      <c r="F199" s="9"/>
      <c r="G199" s="9"/>
      <c r="H199" s="9"/>
      <c r="J199" s="9"/>
      <c r="K199" s="9"/>
      <c r="L199" s="9"/>
      <c r="M199" s="9"/>
      <c r="N199" s="9"/>
      <c r="O199" s="9"/>
    </row>
    <row r="200" ht="15.75" customHeight="1">
      <c r="D200" s="9"/>
      <c r="E200" s="9"/>
      <c r="F200" s="9"/>
      <c r="G200" s="9"/>
      <c r="H200" s="9"/>
      <c r="J200" s="9"/>
      <c r="K200" s="9"/>
      <c r="L200" s="9"/>
      <c r="M200" s="9"/>
      <c r="N200" s="9"/>
      <c r="O200" s="9"/>
    </row>
    <row r="201" ht="15.75" customHeight="1">
      <c r="D201" s="9"/>
      <c r="E201" s="9"/>
      <c r="F201" s="9"/>
      <c r="G201" s="9"/>
      <c r="H201" s="9"/>
      <c r="J201" s="9"/>
      <c r="K201" s="9"/>
      <c r="L201" s="9"/>
      <c r="M201" s="9"/>
      <c r="N201" s="9"/>
      <c r="O201" s="9"/>
    </row>
    <row r="202" ht="15.75" customHeight="1">
      <c r="D202" s="9"/>
      <c r="E202" s="9"/>
      <c r="F202" s="9"/>
      <c r="G202" s="9"/>
      <c r="H202" s="9"/>
      <c r="J202" s="9"/>
      <c r="K202" s="9"/>
      <c r="L202" s="9"/>
      <c r="M202" s="9"/>
      <c r="N202" s="9"/>
      <c r="O202" s="9"/>
    </row>
    <row r="203" ht="15.75" customHeight="1">
      <c r="D203" s="9"/>
      <c r="E203" s="9"/>
      <c r="F203" s="9"/>
      <c r="G203" s="9"/>
      <c r="H203" s="9"/>
      <c r="J203" s="9"/>
      <c r="K203" s="9"/>
      <c r="L203" s="9"/>
      <c r="M203" s="9"/>
      <c r="N203" s="9"/>
      <c r="O203" s="9"/>
    </row>
    <row r="204" ht="15.75" customHeight="1">
      <c r="D204" s="9"/>
      <c r="E204" s="9"/>
      <c r="F204" s="9"/>
      <c r="G204" s="9"/>
      <c r="H204" s="9"/>
      <c r="J204" s="9"/>
      <c r="K204" s="9"/>
      <c r="L204" s="9"/>
      <c r="M204" s="9"/>
      <c r="N204" s="9"/>
      <c r="O204" s="9"/>
    </row>
    <row r="205" ht="15.75" customHeight="1">
      <c r="D205" s="9"/>
      <c r="E205" s="9"/>
      <c r="F205" s="9"/>
      <c r="G205" s="9"/>
      <c r="H205" s="9"/>
      <c r="J205" s="9"/>
      <c r="K205" s="9"/>
      <c r="L205" s="9"/>
      <c r="M205" s="9"/>
      <c r="N205" s="9"/>
      <c r="O205" s="9"/>
    </row>
    <row r="206" ht="15.75" customHeight="1">
      <c r="D206" s="9"/>
      <c r="E206" s="9"/>
      <c r="F206" s="9"/>
      <c r="G206" s="9"/>
      <c r="H206" s="9"/>
      <c r="J206" s="9"/>
      <c r="K206" s="9"/>
      <c r="L206" s="9"/>
      <c r="M206" s="9"/>
      <c r="N206" s="9"/>
      <c r="O206" s="9"/>
    </row>
    <row r="207" ht="15.75" customHeight="1">
      <c r="D207" s="9"/>
      <c r="E207" s="9"/>
      <c r="F207" s="9"/>
      <c r="G207" s="9"/>
      <c r="H207" s="9"/>
      <c r="J207" s="9"/>
      <c r="K207" s="9"/>
      <c r="L207" s="9"/>
      <c r="M207" s="9"/>
      <c r="N207" s="9"/>
      <c r="O207" s="9"/>
    </row>
    <row r="208" ht="15.75" customHeight="1">
      <c r="D208" s="9"/>
      <c r="E208" s="9"/>
      <c r="F208" s="9"/>
      <c r="G208" s="9"/>
      <c r="H208" s="9"/>
      <c r="J208" s="9"/>
      <c r="K208" s="9"/>
      <c r="L208" s="9"/>
      <c r="M208" s="9"/>
      <c r="N208" s="9"/>
      <c r="O208" s="9"/>
    </row>
    <row r="209" ht="15.75" customHeight="1">
      <c r="D209" s="9"/>
      <c r="E209" s="9"/>
      <c r="F209" s="9"/>
      <c r="G209" s="9"/>
      <c r="H209" s="9"/>
      <c r="J209" s="9"/>
      <c r="K209" s="9"/>
      <c r="L209" s="9"/>
      <c r="M209" s="9"/>
      <c r="N209" s="9"/>
      <c r="O209" s="9"/>
    </row>
    <row r="210" ht="15.75" customHeight="1">
      <c r="D210" s="9"/>
      <c r="E210" s="9"/>
      <c r="F210" s="9"/>
      <c r="G210" s="9"/>
      <c r="H210" s="9"/>
      <c r="J210" s="9"/>
      <c r="K210" s="9"/>
      <c r="L210" s="9"/>
      <c r="M210" s="9"/>
      <c r="N210" s="9"/>
      <c r="O210" s="9"/>
    </row>
    <row r="211" ht="15.75" customHeight="1">
      <c r="D211" s="9"/>
      <c r="E211" s="9"/>
      <c r="F211" s="9"/>
      <c r="G211" s="9"/>
      <c r="H211" s="9"/>
      <c r="J211" s="9"/>
      <c r="K211" s="9"/>
      <c r="L211" s="9"/>
      <c r="M211" s="9"/>
      <c r="N211" s="9"/>
      <c r="O211" s="9"/>
    </row>
    <row r="212" ht="15.75" customHeight="1">
      <c r="D212" s="9"/>
      <c r="E212" s="9"/>
      <c r="F212" s="9"/>
      <c r="G212" s="9"/>
      <c r="H212" s="9"/>
      <c r="J212" s="9"/>
      <c r="K212" s="9"/>
      <c r="L212" s="9"/>
      <c r="M212" s="9"/>
      <c r="N212" s="9"/>
      <c r="O212" s="9"/>
    </row>
    <row r="213" ht="15.75" customHeight="1">
      <c r="D213" s="9"/>
      <c r="E213" s="9"/>
      <c r="F213" s="9"/>
      <c r="G213" s="9"/>
      <c r="H213" s="9"/>
      <c r="J213" s="9"/>
      <c r="K213" s="9"/>
      <c r="L213" s="9"/>
      <c r="M213" s="9"/>
      <c r="N213" s="9"/>
      <c r="O213" s="9"/>
    </row>
    <row r="214" ht="15.75" customHeight="1">
      <c r="D214" s="9"/>
      <c r="E214" s="9"/>
      <c r="F214" s="9"/>
      <c r="G214" s="9"/>
      <c r="H214" s="9"/>
      <c r="J214" s="9"/>
      <c r="K214" s="9"/>
      <c r="L214" s="9"/>
      <c r="M214" s="9"/>
      <c r="N214" s="9"/>
      <c r="O214" s="9"/>
    </row>
    <row r="215" ht="15.75" customHeight="1">
      <c r="D215" s="9"/>
      <c r="E215" s="9"/>
      <c r="F215" s="9"/>
      <c r="G215" s="9"/>
      <c r="H215" s="9"/>
      <c r="J215" s="9"/>
      <c r="K215" s="9"/>
      <c r="L215" s="9"/>
      <c r="M215" s="9"/>
      <c r="N215" s="9"/>
      <c r="O215" s="9"/>
    </row>
    <row r="216" ht="15.75" customHeight="1">
      <c r="D216" s="9"/>
      <c r="E216" s="9"/>
      <c r="F216" s="9"/>
      <c r="G216" s="9"/>
      <c r="H216" s="9"/>
      <c r="J216" s="9"/>
      <c r="K216" s="9"/>
      <c r="L216" s="9"/>
      <c r="M216" s="9"/>
      <c r="N216" s="9"/>
      <c r="O216" s="9"/>
    </row>
    <row r="217" ht="15.75" customHeight="1">
      <c r="D217" s="9"/>
      <c r="E217" s="9"/>
      <c r="F217" s="9"/>
      <c r="G217" s="9"/>
      <c r="H217" s="9"/>
      <c r="J217" s="9"/>
      <c r="K217" s="9"/>
      <c r="L217" s="9"/>
      <c r="M217" s="9"/>
      <c r="N217" s="9"/>
      <c r="O217" s="9"/>
    </row>
    <row r="218" ht="15.75" customHeight="1">
      <c r="D218" s="9"/>
      <c r="E218" s="9"/>
      <c r="F218" s="9"/>
      <c r="G218" s="9"/>
      <c r="H218" s="9"/>
      <c r="J218" s="9"/>
      <c r="K218" s="9"/>
      <c r="L218" s="9"/>
      <c r="M218" s="9"/>
      <c r="N218" s="9"/>
      <c r="O218" s="9"/>
    </row>
    <row r="219" ht="15.75" customHeight="1">
      <c r="D219" s="9"/>
      <c r="E219" s="9"/>
      <c r="F219" s="9"/>
      <c r="G219" s="9"/>
      <c r="H219" s="9"/>
      <c r="J219" s="9"/>
      <c r="K219" s="9"/>
      <c r="L219" s="9"/>
      <c r="M219" s="9"/>
      <c r="N219" s="9"/>
      <c r="O219" s="9"/>
    </row>
    <row r="220" ht="15.75" customHeight="1">
      <c r="D220" s="9"/>
      <c r="E220" s="9"/>
      <c r="F220" s="9"/>
      <c r="G220" s="9"/>
      <c r="H220" s="9"/>
      <c r="J220" s="9"/>
      <c r="K220" s="9"/>
      <c r="L220" s="9"/>
      <c r="M220" s="9"/>
      <c r="N220" s="9"/>
      <c r="O220" s="9"/>
    </row>
    <row r="221" ht="15.75" customHeight="1">
      <c r="D221" s="9"/>
      <c r="E221" s="9"/>
      <c r="F221" s="9"/>
      <c r="G221" s="9"/>
      <c r="H221" s="9"/>
      <c r="J221" s="9"/>
      <c r="K221" s="9"/>
      <c r="L221" s="9"/>
      <c r="M221" s="9"/>
      <c r="N221" s="9"/>
      <c r="O221" s="9"/>
    </row>
    <row r="222" ht="15.75" customHeight="1">
      <c r="D222" s="9"/>
      <c r="E222" s="9"/>
      <c r="F222" s="9"/>
      <c r="G222" s="9"/>
      <c r="H222" s="9"/>
      <c r="J222" s="9"/>
      <c r="K222" s="9"/>
      <c r="L222" s="9"/>
      <c r="M222" s="9"/>
      <c r="N222" s="9"/>
      <c r="O222" s="9"/>
    </row>
    <row r="223" ht="15.75" customHeight="1">
      <c r="D223" s="9"/>
      <c r="E223" s="9"/>
      <c r="F223" s="9"/>
      <c r="G223" s="9"/>
      <c r="H223" s="9"/>
      <c r="J223" s="9"/>
      <c r="K223" s="9"/>
      <c r="L223" s="9"/>
      <c r="M223" s="9"/>
      <c r="N223" s="9"/>
      <c r="O223" s="9"/>
    </row>
    <row r="224" ht="15.75" customHeight="1">
      <c r="D224" s="9"/>
      <c r="E224" s="9"/>
      <c r="F224" s="9"/>
      <c r="G224" s="9"/>
      <c r="H224" s="9"/>
      <c r="J224" s="9"/>
      <c r="K224" s="9"/>
      <c r="L224" s="9"/>
      <c r="M224" s="9"/>
      <c r="N224" s="9"/>
      <c r="O224" s="9"/>
    </row>
    <row r="225" ht="15.75" customHeight="1">
      <c r="D225" s="9"/>
      <c r="E225" s="9"/>
      <c r="F225" s="9"/>
      <c r="G225" s="9"/>
      <c r="H225" s="9"/>
      <c r="J225" s="9"/>
      <c r="K225" s="9"/>
      <c r="L225" s="9"/>
      <c r="M225" s="9"/>
      <c r="N225" s="9"/>
      <c r="O225" s="9"/>
    </row>
    <row r="226" ht="15.75" customHeight="1">
      <c r="D226" s="9"/>
      <c r="E226" s="9"/>
      <c r="F226" s="9"/>
      <c r="G226" s="9"/>
      <c r="H226" s="9"/>
      <c r="J226" s="9"/>
      <c r="K226" s="9"/>
      <c r="L226" s="9"/>
      <c r="M226" s="9"/>
      <c r="N226" s="9"/>
      <c r="O226" s="9"/>
    </row>
    <row r="227" ht="15.75" customHeight="1">
      <c r="D227" s="9"/>
      <c r="E227" s="9"/>
      <c r="F227" s="9"/>
      <c r="G227" s="9"/>
      <c r="H227" s="9"/>
      <c r="J227" s="9"/>
      <c r="K227" s="9"/>
      <c r="L227" s="9"/>
      <c r="M227" s="9"/>
      <c r="N227" s="9"/>
      <c r="O227" s="9"/>
    </row>
    <row r="228" ht="15.75" customHeight="1">
      <c r="D228" s="9"/>
      <c r="E228" s="9"/>
      <c r="F228" s="9"/>
      <c r="G228" s="9"/>
      <c r="H228" s="9"/>
      <c r="J228" s="9"/>
      <c r="K228" s="9"/>
      <c r="L228" s="9"/>
      <c r="M228" s="9"/>
      <c r="N228" s="9"/>
      <c r="O228" s="9"/>
    </row>
    <row r="229" ht="15.75" customHeight="1">
      <c r="D229" s="9"/>
      <c r="E229" s="9"/>
      <c r="F229" s="9"/>
      <c r="G229" s="9"/>
      <c r="H229" s="9"/>
      <c r="J229" s="9"/>
      <c r="K229" s="9"/>
      <c r="L229" s="9"/>
      <c r="M229" s="9"/>
      <c r="N229" s="9"/>
      <c r="O229" s="9"/>
    </row>
    <row r="230" ht="15.75" customHeight="1">
      <c r="D230" s="9"/>
      <c r="E230" s="9"/>
      <c r="F230" s="9"/>
      <c r="G230" s="9"/>
      <c r="H230" s="9"/>
      <c r="J230" s="9"/>
      <c r="K230" s="9"/>
      <c r="L230" s="9"/>
      <c r="M230" s="9"/>
      <c r="N230" s="9"/>
      <c r="O230" s="9"/>
    </row>
    <row r="231" ht="15.75" customHeight="1">
      <c r="D231" s="9"/>
      <c r="E231" s="9"/>
      <c r="F231" s="9"/>
      <c r="G231" s="9"/>
      <c r="H231" s="9"/>
      <c r="J231" s="9"/>
      <c r="K231" s="9"/>
      <c r="L231" s="9"/>
      <c r="M231" s="9"/>
      <c r="N231" s="9"/>
      <c r="O231" s="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9" t="s">
        <v>0</v>
      </c>
      <c r="B1" s="60" t="s">
        <v>158</v>
      </c>
      <c r="C1" s="60" t="s">
        <v>159</v>
      </c>
      <c r="D1" s="60" t="s">
        <v>160</v>
      </c>
      <c r="E1" s="60" t="s">
        <v>161</v>
      </c>
      <c r="F1" s="60" t="s">
        <v>25</v>
      </c>
      <c r="G1" s="60" t="s">
        <v>162</v>
      </c>
      <c r="H1" s="60" t="s">
        <v>163</v>
      </c>
      <c r="I1" s="60" t="s">
        <v>164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7">
        <v>2026.0</v>
      </c>
      <c r="B2" s="61">
        <f>Assumptions!D$2* ((1+Assumptions!B$5*0.416666))</f>
        <v>93.40295012</v>
      </c>
      <c r="C2" s="9">
        <v>0.0</v>
      </c>
      <c r="D2" s="9">
        <f t="shared" ref="D2:D31" si="1">MAX(0, MIN(G2, C2))</f>
        <v>0</v>
      </c>
      <c r="E2" s="9">
        <f t="shared" ref="E2:E31" si="2">IF(B2&gt;0, D2/B2, 0)</f>
        <v>0</v>
      </c>
      <c r="F2" s="9">
        <f>926393-556210-56667</f>
        <v>313516</v>
      </c>
      <c r="G2" s="9">
        <f>Assumptions!G2</f>
        <v>3964954.702</v>
      </c>
      <c r="H2" s="9">
        <f t="shared" ref="H2:H31" si="3">MAX(0, G2 - D2)</f>
        <v>3964954.702</v>
      </c>
      <c r="I2" s="9">
        <f>Assumptions!G2</f>
        <v>3964954.702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7">
        <f t="shared" ref="A3:A31" si="4">A2+1</f>
        <v>2027</v>
      </c>
      <c r="B3" s="61">
        <f>B2*(1+Assumptions!B$5)</f>
        <v>103.6772746</v>
      </c>
      <c r="C3" s="9">
        <f>MAX(0, MIN(G3, Main!D3))</f>
        <v>429882.8669</v>
      </c>
      <c r="D3" s="9">
        <f t="shared" si="1"/>
        <v>429882.8669</v>
      </c>
      <c r="E3" s="9">
        <f t="shared" si="2"/>
        <v>4146.355779</v>
      </c>
      <c r="F3" s="9">
        <f>IF(G3&gt;0, E3 * (B3 - Assumptions!D$2), 0)</f>
        <v>59573.49074</v>
      </c>
      <c r="G3" s="9">
        <f t="shared" ref="G3:G31" si="5">IF(I2&gt;0, I2, 0)</f>
        <v>3964954.702</v>
      </c>
      <c r="H3" s="9">
        <f t="shared" si="3"/>
        <v>3535071.836</v>
      </c>
      <c r="I3" s="9">
        <f>IF(G3&gt;0, MAX(0, H3 * (1 + Assumptions!B$5)), 0)</f>
        <v>3923929.738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7">
        <f t="shared" si="4"/>
        <v>2028</v>
      </c>
      <c r="B4" s="61">
        <f>B3*(1+Assumptions!B$5)</f>
        <v>115.0817748</v>
      </c>
      <c r="C4" s="9">
        <f>MAX(0, MIN(G4, Main!D4))</f>
        <v>444007.1535</v>
      </c>
      <c r="D4" s="9">
        <f t="shared" si="1"/>
        <v>444007.1535</v>
      </c>
      <c r="E4" s="9">
        <f t="shared" si="2"/>
        <v>3858.188268</v>
      </c>
      <c r="F4" s="9">
        <f>IF(G4&gt;0, E4 * (B4 - Assumptions!D$2), 0)</f>
        <v>99433.9026</v>
      </c>
      <c r="G4" s="9">
        <f t="shared" si="5"/>
        <v>3923929.738</v>
      </c>
      <c r="H4" s="9">
        <f t="shared" si="3"/>
        <v>3479922.584</v>
      </c>
      <c r="I4" s="9">
        <f>IF(G4&gt;0, MAX(0, H4 * (1 + Assumptions!B$5)), 0)</f>
        <v>3862714.068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7">
        <f t="shared" si="4"/>
        <v>2029</v>
      </c>
      <c r="B5" s="61">
        <f>B4*(1+Assumptions!B$5)</f>
        <v>127.7407701</v>
      </c>
      <c r="C5" s="9">
        <f>MAX(0, MIN(G5, Main!D5))</f>
        <v>458329.2289</v>
      </c>
      <c r="D5" s="9">
        <f t="shared" si="1"/>
        <v>458329.2289</v>
      </c>
      <c r="E5" s="9">
        <f t="shared" si="2"/>
        <v>3587.963566</v>
      </c>
      <c r="F5" s="9">
        <f>IF(G5&gt;0, E5 * (B5 - Assumptions!D$2), 0)</f>
        <v>137889.638</v>
      </c>
      <c r="G5" s="9">
        <f t="shared" si="5"/>
        <v>3862714.068</v>
      </c>
      <c r="H5" s="9">
        <f t="shared" si="3"/>
        <v>3404384.839</v>
      </c>
      <c r="I5" s="9">
        <f>IF(G5&gt;0, MAX(0, H5 * (1 + Assumptions!B$5)), 0)</f>
        <v>3778867.172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7">
        <f t="shared" si="4"/>
        <v>2030</v>
      </c>
      <c r="B6" s="61">
        <f>B5*(1+Assumptions!B$5)</f>
        <v>141.7922548</v>
      </c>
      <c r="C6" s="9">
        <f>MAX(0, MIN(G6, Main!D6))</f>
        <v>472831.5254</v>
      </c>
      <c r="D6" s="9">
        <f t="shared" si="1"/>
        <v>472831.5254</v>
      </c>
      <c r="E6" s="9">
        <f t="shared" si="2"/>
        <v>3334.67809</v>
      </c>
      <c r="F6" s="9">
        <f>IF(G6&gt;0, E6 * (B6 - Assumptions!D$2), 0)</f>
        <v>175012.759</v>
      </c>
      <c r="G6" s="9">
        <f t="shared" si="5"/>
        <v>3778867.172</v>
      </c>
      <c r="H6" s="9">
        <f t="shared" si="3"/>
        <v>3306035.646</v>
      </c>
      <c r="I6" s="9">
        <f>IF(G6&gt;0, MAX(0, H6 * (1 + Assumptions!B$5)), 0)</f>
        <v>3669699.567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7">
        <f t="shared" si="4"/>
        <v>2031</v>
      </c>
      <c r="B7" s="61">
        <f>B6*(1+Assumptions!B$5)</f>
        <v>157.3894028</v>
      </c>
      <c r="C7" s="9">
        <f>MAX(0, MIN(G7, Main!D7))</f>
        <v>487493.5893</v>
      </c>
      <c r="D7" s="9">
        <f t="shared" si="1"/>
        <v>487493.5893</v>
      </c>
      <c r="E7" s="9">
        <f t="shared" si="2"/>
        <v>3097.372381</v>
      </c>
      <c r="F7" s="9">
        <f>IF(G7&gt;0, E7 * (B7 - Assumptions!D$2), 0)</f>
        <v>210868.5009</v>
      </c>
      <c r="G7" s="9">
        <f t="shared" si="5"/>
        <v>3669699.567</v>
      </c>
      <c r="H7" s="9">
        <f t="shared" si="3"/>
        <v>3182205.978</v>
      </c>
      <c r="I7" s="9">
        <f>IF(G7&gt;0, MAX(0, H7 * (1 + Assumptions!B$5)), 0)</f>
        <v>3532248.636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7">
        <f t="shared" si="4"/>
        <v>2032</v>
      </c>
      <c r="B8" s="61">
        <f>B7*(1+Assumptions!B$5)</f>
        <v>174.7022371</v>
      </c>
      <c r="C8" s="9">
        <f>MAX(0, MIN(G8, Main!D8))</f>
        <v>502291.7579</v>
      </c>
      <c r="D8" s="9">
        <f t="shared" si="1"/>
        <v>502291.7579</v>
      </c>
      <c r="E8" s="9">
        <f t="shared" si="2"/>
        <v>2875.130658</v>
      </c>
      <c r="F8" s="9">
        <f>IF(G8&gt;0, E8 * (B8 - Assumptions!D$2), 0)</f>
        <v>245514.9889</v>
      </c>
      <c r="G8" s="9">
        <f t="shared" si="5"/>
        <v>3532248.636</v>
      </c>
      <c r="H8" s="9">
        <f t="shared" si="3"/>
        <v>3029956.878</v>
      </c>
      <c r="I8" s="9">
        <f>IF(G8&gt;0, MAX(0, H8 * (1 + Assumptions!B$5)), 0)</f>
        <v>3363252.134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7">
        <f t="shared" si="4"/>
        <v>2033</v>
      </c>
      <c r="B9" s="61">
        <f>B8*(1+Assumptions!B$5)</f>
        <v>193.9194832</v>
      </c>
      <c r="C9" s="9">
        <f>MAX(0, MIN(G9, Main!D9))</f>
        <v>517198.8042</v>
      </c>
      <c r="D9" s="9">
        <f t="shared" si="1"/>
        <v>517198.8042</v>
      </c>
      <c r="E9" s="9">
        <f t="shared" si="2"/>
        <v>2667.080149</v>
      </c>
      <c r="F9" s="9">
        <f>IF(G9&gt;0, E9 * (B9 - Assumptions!D$2), 0)</f>
        <v>279002.9429</v>
      </c>
      <c r="G9" s="9">
        <f t="shared" si="5"/>
        <v>3363252.134</v>
      </c>
      <c r="H9" s="9">
        <f t="shared" si="3"/>
        <v>2846053.33</v>
      </c>
      <c r="I9" s="9">
        <f>IF(G9&gt;0, MAX(0, H9 * (1 + Assumptions!B$5)), 0)</f>
        <v>3159119.197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7">
        <f t="shared" si="4"/>
        <v>2034</v>
      </c>
      <c r="B10" s="61">
        <f>B9*(1+Assumptions!B$5)</f>
        <v>215.2506263</v>
      </c>
      <c r="C10" s="9">
        <f>MAX(0, MIN(G10, Main!D10))</f>
        <v>532183.5436</v>
      </c>
      <c r="D10" s="9">
        <f t="shared" si="1"/>
        <v>532183.5436</v>
      </c>
      <c r="E10" s="9">
        <f t="shared" si="2"/>
        <v>2472.390221</v>
      </c>
      <c r="F10" s="9">
        <f>IF(G10&gt;0, E10 * (B10 - Assumptions!D$2), 0)</f>
        <v>311375.3619</v>
      </c>
      <c r="G10" s="9">
        <f t="shared" si="5"/>
        <v>3159119.197</v>
      </c>
      <c r="H10" s="9">
        <f t="shared" si="3"/>
        <v>2626935.653</v>
      </c>
      <c r="I10" s="9">
        <f>IF(G10&gt;0, MAX(0, H10 * (1 + Assumptions!B$5)), 0)</f>
        <v>2915898.575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7">
        <f t="shared" si="4"/>
        <v>2035</v>
      </c>
      <c r="B11" s="61">
        <f>B10*(1+Assumptions!B$5)</f>
        <v>238.9281952</v>
      </c>
      <c r="C11" s="9">
        <f>MAX(0, MIN(G11, Main!D11))</f>
        <v>547210.4015</v>
      </c>
      <c r="D11" s="9">
        <f t="shared" si="1"/>
        <v>547210.4015</v>
      </c>
      <c r="E11" s="9">
        <f t="shared" si="2"/>
        <v>2290.271355</v>
      </c>
      <c r="F11" s="9">
        <f>IF(G11&gt;0, E11 * (B11 - Assumptions!D$2), 0)</f>
        <v>342667.1829</v>
      </c>
      <c r="G11" s="9">
        <f t="shared" si="5"/>
        <v>2915898.575</v>
      </c>
      <c r="H11" s="9">
        <f t="shared" si="3"/>
        <v>2368688.173</v>
      </c>
      <c r="I11" s="9">
        <f>IF(G11&gt;0, MAX(0, H11 * (1 + Assumptions!B$5)), 0)</f>
        <v>2629243.872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7">
        <f t="shared" si="4"/>
        <v>2036</v>
      </c>
      <c r="B12" s="61">
        <f>B11*(1+Assumptions!B$5)</f>
        <v>265.2102967</v>
      </c>
      <c r="C12" s="9">
        <f>MAX(0, MIN(G12, Main!D12))</f>
        <v>562238.9363</v>
      </c>
      <c r="D12" s="9">
        <f t="shared" si="1"/>
        <v>562238.9363</v>
      </c>
      <c r="E12" s="9">
        <f t="shared" si="2"/>
        <v>2119.97401</v>
      </c>
      <c r="F12" s="9">
        <f>IF(G12&gt;0, E12 * (B12 - Assumptions!D$2), 0)</f>
        <v>372904.9054</v>
      </c>
      <c r="G12" s="9">
        <f t="shared" si="5"/>
        <v>2629243.872</v>
      </c>
      <c r="H12" s="9">
        <f t="shared" si="3"/>
        <v>2067004.936</v>
      </c>
      <c r="I12" s="9">
        <f>IF(G12&gt;0, MAX(0, H12 * (1 + Assumptions!B$5)), 0)</f>
        <v>2294375.479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7">
        <f t="shared" si="4"/>
        <v>2037</v>
      </c>
      <c r="B13" s="61">
        <f>B12*(1+Assumptions!B$5)</f>
        <v>294.3834294</v>
      </c>
      <c r="C13" s="9">
        <f>MAX(0, MIN(G13, Main!D13))</f>
        <v>577223.3126</v>
      </c>
      <c r="D13" s="9">
        <f t="shared" si="1"/>
        <v>577223.3126</v>
      </c>
      <c r="E13" s="9">
        <f t="shared" si="2"/>
        <v>1960.787378</v>
      </c>
      <c r="F13" s="9">
        <f>IF(G13&gt;0, E13 * (B13 - Assumptions!D$2), 0)</f>
        <v>402106.1762</v>
      </c>
      <c r="G13" s="9">
        <f t="shared" si="5"/>
        <v>2294375.479</v>
      </c>
      <c r="H13" s="9">
        <f t="shared" si="3"/>
        <v>1717152.166</v>
      </c>
      <c r="I13" s="9">
        <f>IF(G13&gt;0, MAX(0, H13 * (1 + Assumptions!B$5)), 0)</f>
        <v>1906038.905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7">
        <f t="shared" si="4"/>
        <v>2038</v>
      </c>
      <c r="B14" s="61">
        <f>B13*(1+Assumptions!B$5)</f>
        <v>326.7656066</v>
      </c>
      <c r="C14" s="9">
        <f>MAX(0, MIN(G14, Main!D14))</f>
        <v>592111.7219</v>
      </c>
      <c r="D14" s="9">
        <f t="shared" si="1"/>
        <v>592111.7219</v>
      </c>
      <c r="E14" s="9">
        <f t="shared" si="2"/>
        <v>1812.038079</v>
      </c>
      <c r="F14" s="9">
        <f>IF(G14&gt;0, E14 * (B14 - Assumptions!D$2), 0)</f>
        <v>430279.3259</v>
      </c>
      <c r="G14" s="9">
        <f t="shared" si="5"/>
        <v>1906038.905</v>
      </c>
      <c r="H14" s="9">
        <f t="shared" si="3"/>
        <v>1313927.183</v>
      </c>
      <c r="I14" s="9">
        <f>IF(G14&gt;0, MAX(0, H14 * (1 + Assumptions!B$5)), 0)</f>
        <v>1458459.173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7">
        <f t="shared" si="4"/>
        <v>2039</v>
      </c>
      <c r="B15" s="61">
        <f>B14*(1+Assumptions!B$5)</f>
        <v>362.7098233</v>
      </c>
      <c r="C15" s="9">
        <f>MAX(0, MIN(G15, Main!D15))</f>
        <v>606845.7431</v>
      </c>
      <c r="D15" s="9">
        <f t="shared" si="1"/>
        <v>606845.7431</v>
      </c>
      <c r="E15" s="9">
        <f t="shared" si="2"/>
        <v>1673.0888</v>
      </c>
      <c r="F15" s="9">
        <f>IF(G15&gt;0, E15 * (B15 - Assumptions!D$2), 0)</f>
        <v>457422.8516</v>
      </c>
      <c r="G15" s="9">
        <f t="shared" si="5"/>
        <v>1458459.173</v>
      </c>
      <c r="H15" s="9">
        <f t="shared" si="3"/>
        <v>851613.4297</v>
      </c>
      <c r="I15" s="9">
        <f>IF(G15&gt;0, MAX(0, H15 * (1 + Assumptions!B$5)), 0)</f>
        <v>945290.907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7">
        <f t="shared" si="4"/>
        <v>2040</v>
      </c>
      <c r="B16" s="61">
        <f>B15*(1+Assumptions!B$5)</f>
        <v>402.6079039</v>
      </c>
      <c r="C16" s="9">
        <f>MAX(0, MIN(G16, Main!D16))</f>
        <v>621359.6385</v>
      </c>
      <c r="D16" s="9">
        <f t="shared" si="1"/>
        <v>621359.6385</v>
      </c>
      <c r="E16" s="9">
        <f t="shared" si="2"/>
        <v>1543.336911</v>
      </c>
      <c r="F16" s="9">
        <f>IF(G16&gt;0, E16 * (B16 - Assumptions!D$2), 0)</f>
        <v>483524.8364</v>
      </c>
      <c r="G16" s="9">
        <f t="shared" si="5"/>
        <v>945290.907</v>
      </c>
      <c r="H16" s="9">
        <f t="shared" si="3"/>
        <v>323931.2684</v>
      </c>
      <c r="I16" s="9">
        <f>IF(G16&gt;0, MAX(0, H16 * (1 + Assumptions!B$5)), 0)</f>
        <v>359563.708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7">
        <f t="shared" si="4"/>
        <v>2041</v>
      </c>
      <c r="B17" s="61">
        <f>B16*(1+Assumptions!B$5)</f>
        <v>446.8947733</v>
      </c>
      <c r="C17" s="9">
        <f>MAX(0, MIN(G17, Main!D17))</f>
        <v>359563.708</v>
      </c>
      <c r="D17" s="9">
        <f t="shared" si="1"/>
        <v>359563.708</v>
      </c>
      <c r="E17" s="9">
        <f t="shared" si="2"/>
        <v>804.5824866</v>
      </c>
      <c r="F17" s="9">
        <f>IF(G17&gt;0, E17 * (B17 - Assumptions!D$2), 0)</f>
        <v>287706.7679</v>
      </c>
      <c r="G17" s="9">
        <f t="shared" si="5"/>
        <v>359563.708</v>
      </c>
      <c r="H17" s="9">
        <f t="shared" si="3"/>
        <v>0</v>
      </c>
      <c r="I17" s="9">
        <f>IF(G17&gt;0, MAX(0, H17 * (1 + Assumptions!B$5)), 0)</f>
        <v>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7">
        <f t="shared" si="4"/>
        <v>2042</v>
      </c>
      <c r="B18" s="61">
        <f>B17*(1+Assumptions!B$5)</f>
        <v>496.0531984</v>
      </c>
      <c r="C18" s="9">
        <f>MAX(0, MIN(G18, Main!D18))</f>
        <v>0</v>
      </c>
      <c r="D18" s="9">
        <f t="shared" si="1"/>
        <v>0</v>
      </c>
      <c r="E18" s="9">
        <f t="shared" si="2"/>
        <v>0</v>
      </c>
      <c r="F18" s="9">
        <f>IF(G18&gt;0, E18 * (B18 - Assumptions!D$2), 0)</f>
        <v>0</v>
      </c>
      <c r="G18" s="9">
        <f t="shared" si="5"/>
        <v>0</v>
      </c>
      <c r="H18" s="9">
        <f t="shared" si="3"/>
        <v>0</v>
      </c>
      <c r="I18" s="9">
        <f>IF(G18&gt;0, MAX(0, H18 * (1 + Assumptions!B$5)), 0)</f>
        <v>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7">
        <f t="shared" si="4"/>
        <v>2043</v>
      </c>
      <c r="B19" s="61">
        <f>B18*(1+Assumptions!B$5)</f>
        <v>550.6190502</v>
      </c>
      <c r="C19" s="9">
        <f>MAX(0, MIN(G19, Main!D19))</f>
        <v>0</v>
      </c>
      <c r="D19" s="9">
        <f t="shared" si="1"/>
        <v>0</v>
      </c>
      <c r="E19" s="9">
        <f t="shared" si="2"/>
        <v>0</v>
      </c>
      <c r="F19" s="9">
        <f>IF(G19&gt;0, E19 * (B19 - Assumptions!D$2), 0)</f>
        <v>0</v>
      </c>
      <c r="G19" s="9">
        <f t="shared" si="5"/>
        <v>0</v>
      </c>
      <c r="H19" s="9">
        <f t="shared" si="3"/>
        <v>0</v>
      </c>
      <c r="I19" s="9">
        <f>IF(G19&gt;0, MAX(0, H19 * (1 + Assumptions!B$5)), 0)</f>
        <v>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7">
        <f t="shared" si="4"/>
        <v>2044</v>
      </c>
      <c r="B20" s="61">
        <f>B19*(1+Assumptions!B$5)</f>
        <v>611.1871457</v>
      </c>
      <c r="C20" s="9">
        <f>MAX(0, MIN(G20, Main!D20))</f>
        <v>0</v>
      </c>
      <c r="D20" s="9">
        <f t="shared" si="1"/>
        <v>0</v>
      </c>
      <c r="E20" s="9">
        <f t="shared" si="2"/>
        <v>0</v>
      </c>
      <c r="F20" s="9">
        <f>IF(G20&gt;0, E20 * (B20 - Assumptions!D$2), 0)</f>
        <v>0</v>
      </c>
      <c r="G20" s="9">
        <f t="shared" si="5"/>
        <v>0</v>
      </c>
      <c r="H20" s="9">
        <f t="shared" si="3"/>
        <v>0</v>
      </c>
      <c r="I20" s="9">
        <f>IF(G20&gt;0, MAX(0, H20 * (1 + Assumptions!B$5)), 0)</f>
        <v>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7">
        <f t="shared" si="4"/>
        <v>2045</v>
      </c>
      <c r="B21" s="61">
        <f>B20*(1+Assumptions!B$5)</f>
        <v>678.4177317</v>
      </c>
      <c r="C21" s="9">
        <f>MAX(0, MIN(G21, Main!D21))</f>
        <v>0</v>
      </c>
      <c r="D21" s="9">
        <f t="shared" si="1"/>
        <v>0</v>
      </c>
      <c r="E21" s="9">
        <f t="shared" si="2"/>
        <v>0</v>
      </c>
      <c r="F21" s="9">
        <f>IF(G21&gt;0, E21 * (B21 - Assumptions!D$2), 0)</f>
        <v>0</v>
      </c>
      <c r="G21" s="9">
        <f t="shared" si="5"/>
        <v>0</v>
      </c>
      <c r="H21" s="9">
        <f t="shared" si="3"/>
        <v>0</v>
      </c>
      <c r="I21" s="9">
        <f>IF(G21&gt;0, MAX(0, H21 * (1 + Assumptions!B$5)), 0)</f>
        <v>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7">
        <f t="shared" si="4"/>
        <v>2046</v>
      </c>
      <c r="B22" s="61">
        <f>B21*(1+Assumptions!B$5)</f>
        <v>753.0436822</v>
      </c>
      <c r="C22" s="9">
        <f>MAX(0, MIN(G22, Main!D22))</f>
        <v>0</v>
      </c>
      <c r="D22" s="9">
        <f t="shared" si="1"/>
        <v>0</v>
      </c>
      <c r="E22" s="9">
        <f t="shared" si="2"/>
        <v>0</v>
      </c>
      <c r="F22" s="9">
        <f>IF(G22&gt;0, E22 * (B22 - Assumptions!D$2), 0)</f>
        <v>0</v>
      </c>
      <c r="G22" s="9">
        <f t="shared" si="5"/>
        <v>0</v>
      </c>
      <c r="H22" s="9">
        <f t="shared" si="3"/>
        <v>0</v>
      </c>
      <c r="I22" s="9">
        <f>IF(G22&gt;0, MAX(0, H22 * (1 + Assumptions!B$5)), 0)</f>
        <v>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7">
        <f t="shared" si="4"/>
        <v>2047</v>
      </c>
      <c r="B23" s="61">
        <f>B22*(1+Assumptions!B$5)</f>
        <v>835.8784873</v>
      </c>
      <c r="C23" s="9">
        <f>MAX(0, MIN(G23, Main!D23))</f>
        <v>0</v>
      </c>
      <c r="D23" s="9">
        <f t="shared" si="1"/>
        <v>0</v>
      </c>
      <c r="E23" s="9">
        <f t="shared" si="2"/>
        <v>0</v>
      </c>
      <c r="F23" s="9">
        <f>IF(G23&gt;0, E23 * (B23 - Assumptions!D$2), 0)</f>
        <v>0</v>
      </c>
      <c r="G23" s="9">
        <f t="shared" si="5"/>
        <v>0</v>
      </c>
      <c r="H23" s="9">
        <f t="shared" si="3"/>
        <v>0</v>
      </c>
      <c r="I23" s="9">
        <f>IF(G23&gt;0, MAX(0, H23 * (1 + Assumptions!B$5)), 0)</f>
        <v>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7">
        <f t="shared" si="4"/>
        <v>2048</v>
      </c>
      <c r="B24" s="61">
        <f>B23*(1+Assumptions!B$5)</f>
        <v>927.8251209</v>
      </c>
      <c r="C24" s="9">
        <f>MAX(0, MIN(G24, Main!D24))</f>
        <v>0</v>
      </c>
      <c r="D24" s="9">
        <f t="shared" si="1"/>
        <v>0</v>
      </c>
      <c r="E24" s="9">
        <f t="shared" si="2"/>
        <v>0</v>
      </c>
      <c r="F24" s="9">
        <f>IF(G24&gt;0, E24 * (B24 - Assumptions!D$2), 0)</f>
        <v>0</v>
      </c>
      <c r="G24" s="9">
        <f t="shared" si="5"/>
        <v>0</v>
      </c>
      <c r="H24" s="9">
        <f t="shared" si="3"/>
        <v>0</v>
      </c>
      <c r="I24" s="9">
        <f>IF(G24&gt;0, MAX(0, H24 * (1 + Assumptions!B$5)), 0)</f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7">
        <f t="shared" si="4"/>
        <v>2049</v>
      </c>
      <c r="B25" s="61">
        <f>B24*(1+Assumptions!B$5)</f>
        <v>1029.885884</v>
      </c>
      <c r="C25" s="9">
        <f>MAX(0, MIN(G25, Main!D25))</f>
        <v>0</v>
      </c>
      <c r="D25" s="9">
        <f t="shared" si="1"/>
        <v>0</v>
      </c>
      <c r="E25" s="9">
        <f t="shared" si="2"/>
        <v>0</v>
      </c>
      <c r="F25" s="9">
        <f>IF(G25&gt;0, E25 * (B25 - Assumptions!D$2), 0)</f>
        <v>0</v>
      </c>
      <c r="G25" s="9">
        <f t="shared" si="5"/>
        <v>0</v>
      </c>
      <c r="H25" s="9">
        <f t="shared" si="3"/>
        <v>0</v>
      </c>
      <c r="I25" s="9">
        <f>IF(G25&gt;0, MAX(0, H25 * (1 + Assumptions!B$5)), 0)</f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7">
        <f t="shared" si="4"/>
        <v>2050</v>
      </c>
      <c r="B26" s="61">
        <f>B25*(1+Assumptions!B$5)</f>
        <v>1143.173331</v>
      </c>
      <c r="C26" s="9">
        <f>MAX(0, MIN(G26, Main!D26))</f>
        <v>0</v>
      </c>
      <c r="D26" s="9">
        <f t="shared" si="1"/>
        <v>0</v>
      </c>
      <c r="E26" s="9">
        <f t="shared" si="2"/>
        <v>0</v>
      </c>
      <c r="F26" s="9">
        <f>IF(G26&gt;0, E26 * (B26 - Assumptions!D$2), 0)</f>
        <v>0</v>
      </c>
      <c r="G26" s="9">
        <f t="shared" si="5"/>
        <v>0</v>
      </c>
      <c r="H26" s="9">
        <f t="shared" si="3"/>
        <v>0</v>
      </c>
      <c r="I26" s="9">
        <f>IF(G26&gt;0, MAX(0, H26 * (1 + Assumptions!B$5)), 0)</f>
        <v>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7">
        <f t="shared" si="4"/>
        <v>2051</v>
      </c>
      <c r="B27" s="61">
        <f>B26*(1+Assumptions!B$5)</f>
        <v>1268.922398</v>
      </c>
      <c r="C27" s="9">
        <f>MAX(0, MIN(G27, Main!D27))</f>
        <v>0</v>
      </c>
      <c r="D27" s="9">
        <f t="shared" si="1"/>
        <v>0</v>
      </c>
      <c r="E27" s="9">
        <f t="shared" si="2"/>
        <v>0</v>
      </c>
      <c r="F27" s="9">
        <f>IF(G27&gt;0, E27 * (B27 - Assumptions!D$2), 0)</f>
        <v>0</v>
      </c>
      <c r="G27" s="9">
        <f t="shared" si="5"/>
        <v>0</v>
      </c>
      <c r="H27" s="9">
        <f t="shared" si="3"/>
        <v>0</v>
      </c>
      <c r="I27" s="9">
        <f>IF(G27&gt;0, MAX(0, H27 * (1 + Assumptions!B$5)), 0)</f>
        <v>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7">
        <f t="shared" si="4"/>
        <v>2052</v>
      </c>
      <c r="B28" s="61">
        <f>B27*(1+Assumptions!B$5)</f>
        <v>1408.503862</v>
      </c>
      <c r="C28" s="9">
        <f>MAX(0, MIN(G28, Main!D28))</f>
        <v>0</v>
      </c>
      <c r="D28" s="9">
        <f t="shared" si="1"/>
        <v>0</v>
      </c>
      <c r="E28" s="9">
        <f t="shared" si="2"/>
        <v>0</v>
      </c>
      <c r="F28" s="9">
        <f>IF(G28&gt;0, E28 * (B28 - Assumptions!D$2), 0)</f>
        <v>0</v>
      </c>
      <c r="G28" s="9">
        <f t="shared" si="5"/>
        <v>0</v>
      </c>
      <c r="H28" s="9">
        <f t="shared" si="3"/>
        <v>0</v>
      </c>
      <c r="I28" s="9">
        <f>IF(G28&gt;0, MAX(0, H28 * (1 + Assumptions!B$5)), 0)</f>
        <v>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7">
        <f t="shared" si="4"/>
        <v>2053</v>
      </c>
      <c r="B29" s="61">
        <f>B28*(1+Assumptions!B$5)</f>
        <v>1563.439286</v>
      </c>
      <c r="C29" s="9">
        <f>MAX(0, MIN(G29, Main!D29))</f>
        <v>0</v>
      </c>
      <c r="D29" s="9">
        <f t="shared" si="1"/>
        <v>0</v>
      </c>
      <c r="E29" s="9">
        <f t="shared" si="2"/>
        <v>0</v>
      </c>
      <c r="F29" s="9">
        <f>IF(G29&gt;0, E29 * (B29 - Assumptions!D$2), 0)</f>
        <v>0</v>
      </c>
      <c r="G29" s="9">
        <f t="shared" si="5"/>
        <v>0</v>
      </c>
      <c r="H29" s="9">
        <f t="shared" si="3"/>
        <v>0</v>
      </c>
      <c r="I29" s="9">
        <f>IF(G29&gt;0, MAX(0, H29 * (1 + Assumptions!B$5)), 0)</f>
        <v>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7">
        <f t="shared" si="4"/>
        <v>2054</v>
      </c>
      <c r="B30" s="61">
        <f>B29*(1+Assumptions!B$5)</f>
        <v>1735.417608</v>
      </c>
      <c r="C30" s="9">
        <f>MAX(0, MIN(G30, Main!D30))</f>
        <v>0</v>
      </c>
      <c r="D30" s="9">
        <f t="shared" si="1"/>
        <v>0</v>
      </c>
      <c r="E30" s="9">
        <f t="shared" si="2"/>
        <v>0</v>
      </c>
      <c r="F30" s="9">
        <f>IF(G30&gt;0, E30 * (B30 - Assumptions!D$2), 0)</f>
        <v>0</v>
      </c>
      <c r="G30" s="9">
        <f t="shared" si="5"/>
        <v>0</v>
      </c>
      <c r="H30" s="9">
        <f t="shared" si="3"/>
        <v>0</v>
      </c>
      <c r="I30" s="9">
        <f>IF(G30&gt;0, MAX(0, H30 * (1 + Assumptions!B$5)), 0)</f>
        <v>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7">
        <f t="shared" si="4"/>
        <v>2055</v>
      </c>
      <c r="B31" s="61">
        <f>B30*(1+Assumptions!B$5)</f>
        <v>1926.313545</v>
      </c>
      <c r="C31" s="9">
        <f>MAX(0, MIN(G31, Main!D31))</f>
        <v>0</v>
      </c>
      <c r="D31" s="9">
        <f t="shared" si="1"/>
        <v>0</v>
      </c>
      <c r="E31" s="9">
        <f t="shared" si="2"/>
        <v>0</v>
      </c>
      <c r="F31" s="9">
        <f>IF(G31&gt;0, E31 * (B31 - Assumptions!D$2), 0)</f>
        <v>0</v>
      </c>
      <c r="G31" s="9">
        <f t="shared" si="5"/>
        <v>0</v>
      </c>
      <c r="H31" s="9">
        <f t="shared" si="3"/>
        <v>0</v>
      </c>
      <c r="I31" s="9">
        <f>IF(G31&gt;0, MAX(0, H31 * (1 + Assumptions!B$5)), 0)</f>
        <v>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B33" s="9"/>
      <c r="C33" s="9"/>
      <c r="D33" s="9">
        <f t="shared" ref="D33:F33" si="6">SUM(D2:D31)</f>
        <v>7710771.932</v>
      </c>
      <c r="E33" s="9">
        <f t="shared" si="6"/>
        <v>38243.23813</v>
      </c>
      <c r="F33" s="9">
        <f t="shared" si="6"/>
        <v>4608799.631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B35" s="9"/>
      <c r="C35" s="9"/>
      <c r="D35" s="9"/>
      <c r="E35" s="9"/>
      <c r="F35" s="9">
        <f>D33-F33</f>
        <v>3101972.3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